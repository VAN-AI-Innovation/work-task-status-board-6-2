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통합 대시보드" state="visible" r:id="rId4"/>
    <sheet sheetId="2" name="01_편집팀" state="visible" r:id="rId5"/>
    <sheet sheetId="3" name="02_촬영·기획팀" state="visible" r:id="rId6"/>
    <sheet sheetId="4" name="03_마케팅·관리팀" state="visible" r:id="rId7"/>
    <sheet sheetId="5" name="99_설정" state="visible" r:id="rId8"/>
  </sheets>
  <calcPr calcId="171027"/>
</workbook>
</file>

<file path=xl/sharedStrings.xml><?xml version="1.0" encoding="utf-8"?>
<sst xmlns="http://schemas.openxmlformats.org/spreadsheetml/2006/main" count="577" uniqueCount="392">
  <si>
    <t>01_편집팀 →</t>
  </si>
  <si>
    <t>02_촬영·기획팀 →</t>
  </si>
  <si>
    <t>03_마케팅·관리팀 →</t>
  </si>
  <si>
    <t>99_설정 →</t>
  </si>
  <si>
    <t>[VAN LOGO] 26-2 컨텐츠마케팅부 통합 대시보드</t>
  </si>
  <si>
    <t>VAN AI Innovation · Weekly Status Board · 26-2</t>
  </si>
  <si>
    <t>전체 활성 업무</t>
  </si>
  <si>
    <t>편집팀 진행</t>
  </si>
  <si>
    <t>촬영·기획팀 진행</t>
  </si>
  <si>
    <t>마케팅·관리팀 진행</t>
  </si>
  <si>
    <t>승인 대기</t>
  </si>
  <si>
    <t>수정 요청</t>
  </si>
  <si>
    <t>이번 주 마감</t>
  </si>
  <si>
    <t>마감 임박</t>
  </si>
  <si>
    <t>지연</t>
  </si>
  <si>
    <t>전체 완료율</t>
  </si>
  <si>
    <t>팀별 요약</t>
  </si>
  <si>
    <t>팀</t>
  </si>
  <si>
    <t>전체 업무</t>
  </si>
  <si>
    <t>진행 중</t>
  </si>
  <si>
    <t>완료</t>
  </si>
  <si>
    <t>완료율</t>
  </si>
  <si>
    <t>가장 가까운 마감</t>
  </si>
  <si>
    <t>주요 리스크</t>
  </si>
  <si>
    <t>01_편집팀</t>
  </si>
  <si>
    <t>지연 1건</t>
  </si>
  <si>
    <t>02_촬영·기획팀</t>
  </si>
  <si>
    <t>섭외 지연 우려</t>
  </si>
  <si>
    <t>03_마케팅·관리팀</t>
  </si>
  <si>
    <t>답변 기한 임박</t>
  </si>
  <si>
    <t>합계</t>
  </si>
  <si>
    <t>이번 주 확인 필요 업무</t>
  </si>
  <si>
    <t>업무명</t>
  </si>
  <si>
    <t>담당자</t>
  </si>
  <si>
    <t>현재 단계</t>
  </si>
  <si>
    <t>다음 조치</t>
  </si>
  <si>
    <t>다음 기한</t>
  </si>
  <si>
    <t>D-DAY</t>
  </si>
  <si>
    <t>승인 상태</t>
  </si>
  <si>
    <t>리스크</t>
  </si>
  <si>
    <t>업무 원본 탭 링크</t>
  </si>
  <si>
    <t>[샘플] 카드뉴스 A</t>
  </si>
  <si>
    <t>담당자1</t>
  </si>
  <si>
    <t>컨셉 승인 요청</t>
  </si>
  <si>
    <t>검토 대기</t>
  </si>
  <si>
    <t>해당 탭 열기</t>
  </si>
  <si>
    <t>[샘플] 브랜드 필름</t>
  </si>
  <si>
    <t>기획자1</t>
  </si>
  <si>
    <t>준비 중</t>
  </si>
  <si>
    <t>출연자 섭외 확정</t>
  </si>
  <si>
    <t>미제출</t>
  </si>
  <si>
    <t>주의</t>
  </si>
  <si>
    <t>[샘플] 리그램 이벤트</t>
  </si>
  <si>
    <t>마케터1</t>
  </si>
  <si>
    <t>성과 집계</t>
  </si>
  <si>
    <t>조건부 승인</t>
  </si>
  <si>
    <t>정상</t>
  </si>
  <si>
    <t>← 00_통합 대시보드</t>
  </si>
  <si>
    <t>99_설정</t>
  </si>
  <si>
    <t>[VAN LOGO] 26-2 컨텐츠마케팅부 업무 관리 시트</t>
  </si>
  <si>
    <t>VAN AI Innovation · Contents Marketing Division · 26-2</t>
  </si>
  <si>
    <t>※ 회색 셀은 수식입니다. 직접 수정하지 마세요. 진행 상태는 99_설정 탭의 목록에서 고르세요.</t>
  </si>
  <si>
    <t>기본 업무정보</t>
  </si>
  <si>
    <t>컨셉·레퍼런스 (+2일)</t>
  </si>
  <si>
    <t>제작 진행 (+5일)</t>
  </si>
  <si>
    <t>최종본·업로드 (+7일)</t>
  </si>
  <si>
    <t>비고</t>
  </si>
  <si>
    <t>%</t>
  </si>
  <si>
    <t>배정일</t>
  </si>
  <si>
    <t>예정일</t>
  </si>
  <si>
    <t>실제</t>
  </si>
  <si>
    <t>내용</t>
  </si>
  <si>
    <t>확인</t>
  </si>
  <si>
    <t>2026.07.22</t>
  </si>
  <si>
    <t>컨셉 문서</t>
  </si>
  <si>
    <t>제작 파일</t>
  </si>
  <si>
    <r>
      <t xml:space="preserve">컨셉 확정 </t>
    </r>
    <r>
      <rPr>
        <b/>
      </rPr>
      <t>승인자1</t>
    </r>
    <r>
      <t xml:space="preserve"> 확인 필요</t>
    </r>
  </si>
  <si>
    <t>[샘플] 릴스 B</t>
  </si>
  <si>
    <t>담당자2</t>
  </si>
  <si>
    <t>레퍼런스 재수집</t>
  </si>
  <si>
    <t>[샘플] 숏폼 C</t>
  </si>
  <si>
    <t>담당자3</t>
  </si>
  <si>
    <t>9/1</t>
  </si>
  <si>
    <t>-</t>
  </si>
  <si>
    <t>[샘플] 비공개 작업 D</t>
  </si>
  <si>
    <t>[샘플] 시리즈 E</t>
  </si>
  <si>
    <t>2부는 담당자3이 이어받음</t>
  </si>
  <si>
    <t>섭외 대기</t>
  </si>
  <si>
    <t>촬영 예정</t>
  </si>
  <si>
    <t>기준 주차</t>
  </si>
  <si>
    <t>2026-07 4주차</t>
  </si>
  <si>
    <t>팀 책임자</t>
  </si>
  <si>
    <t>이번 주 핵심 목표</t>
  </si>
  <si>
    <t>브랜드 필름 섭외 확정</t>
  </si>
  <si>
    <t>출연자 일정 미확정</t>
  </si>
  <si>
    <t>섭외</t>
  </si>
  <si>
    <t>촬영 일정·준비</t>
  </si>
  <si>
    <t>기획안 초안</t>
  </si>
  <si>
    <t>기획안 완성본</t>
  </si>
  <si>
    <t>촬영 실행</t>
  </si>
  <si>
    <t>편집 이관 또는 자체 편집</t>
  </si>
  <si>
    <t>관리</t>
  </si>
  <si>
    <t>업무ID</t>
  </si>
  <si>
    <t>프로젝트명</t>
  </si>
  <si>
    <t>콘텐츠 형식</t>
  </si>
  <si>
    <t>우선순위</t>
  </si>
  <si>
    <t>기획 담당자</t>
  </si>
  <si>
    <t>촬영 담당자</t>
  </si>
  <si>
    <t>공동 담당자</t>
  </si>
  <si>
    <t>업무 배정일</t>
  </si>
  <si>
    <t>최종 결과물 기한</t>
  </si>
  <si>
    <t>현재 업무 단계</t>
  </si>
  <si>
    <t>출연자·촬영 대상</t>
  </si>
  <si>
    <t>섭외 필요 여부</t>
  </si>
  <si>
    <t>섭외 담당자</t>
  </si>
  <si>
    <t>섭외 기한</t>
  </si>
  <si>
    <t>섭외 상태</t>
  </si>
  <si>
    <t>최초 연락일</t>
  </si>
  <si>
    <t>최종 확정일</t>
  </si>
  <si>
    <t>섭외 결과</t>
  </si>
  <si>
    <t>출연자 연락처 (내부용)</t>
  </si>
  <si>
    <t>섭외 관련 특이사항</t>
  </si>
  <si>
    <t>촬영 예정일</t>
  </si>
  <si>
    <t>촬영 시간</t>
  </si>
  <si>
    <t>촬영 장소</t>
  </si>
  <si>
    <t>장소 예약 상태</t>
  </si>
  <si>
    <t>촬영 장비 준비 상태</t>
  </si>
  <si>
    <t>출연자 최종 확인</t>
  </si>
  <si>
    <t>촬영 인력 확정</t>
  </si>
  <si>
    <t>촬영 전 확인사항</t>
  </si>
  <si>
    <t>촬영 취소·변경 가능성</t>
  </si>
  <si>
    <t>초안 공유 예정일</t>
  </si>
  <si>
    <t>실제 초안 공유일</t>
  </si>
  <si>
    <t>초안 링크</t>
  </si>
  <si>
    <t>초안 승인 상태</t>
  </si>
  <si>
    <t>초안 검토 담당자</t>
  </si>
  <si>
    <t>초안 피드백일</t>
  </si>
  <si>
    <t>초안 피드백 요약</t>
  </si>
  <si>
    <t>완성 기획안 제출 예정일</t>
  </si>
  <si>
    <t>실제 완성 기획안 제출일</t>
  </si>
  <si>
    <t>완성 기획안 링크</t>
  </si>
  <si>
    <t>완성 기획안 승인 상태</t>
  </si>
  <si>
    <t>최종 검토 담당자</t>
  </si>
  <si>
    <t>최종 피드백 기한</t>
  </si>
  <si>
    <t>실제 최종 피드백일</t>
  </si>
  <si>
    <t>최종 피드백 요약</t>
  </si>
  <si>
    <t>촬영 실행 상태</t>
  </si>
  <si>
    <t>실제 촬영일</t>
  </si>
  <si>
    <t>촬영 완료 여부</t>
  </si>
  <si>
    <t>재촬영 필요 여부</t>
  </si>
  <si>
    <t>현장 특이사항</t>
  </si>
  <si>
    <t>촬영본 원본 링크</t>
  </si>
  <si>
    <t>대본·질문지 최종본 링크</t>
  </si>
  <si>
    <t>사진·영상 활용 동의 확인</t>
  </si>
  <si>
    <t>파일 백업 확인</t>
  </si>
  <si>
    <t>편집 방식</t>
  </si>
  <si>
    <t>편집 담당 팀·담당자</t>
  </si>
  <si>
    <t>편집 이관 예정일</t>
  </si>
  <si>
    <t>실제 이관일</t>
  </si>
  <si>
    <t>촬영본 이관 확인</t>
  </si>
  <si>
    <t>대본 이관 확인</t>
  </si>
  <si>
    <t>편집 요청사항</t>
  </si>
  <si>
    <t>편집 마감일</t>
  </si>
  <si>
    <t>자체 편집 결과물 링크</t>
  </si>
  <si>
    <t>다음 조치 담당자</t>
  </si>
  <si>
    <t>다음 조치 기한</t>
  </si>
  <si>
    <t>전체 진행률</t>
  </si>
  <si>
    <t>리스크 상태</t>
  </si>
  <si>
    <t>지연 사유</t>
  </si>
  <si>
    <t>임원진 최종 확인</t>
  </si>
  <si>
    <t>[샘플] SH-001</t>
  </si>
  <si>
    <t>인터뷰</t>
  </si>
  <si>
    <t>높음</t>
  </si>
  <si>
    <t>기획자2</t>
  </si>
  <si>
    <t>[샘플] 학회원 A</t>
  </si>
  <si>
    <t>필요</t>
  </si>
  <si>
    <t>연락 중</t>
  </si>
  <si>
    <t>010-0000-0000</t>
  </si>
  <si>
    <t>[샘플] 스튜디오 1</t>
  </si>
  <si>
    <t>문의 중</t>
  </si>
  <si>
    <t>초안 문서</t>
  </si>
  <si>
    <t>예정</t>
  </si>
  <si>
    <t>편집팀 이관</t>
  </si>
  <si>
    <t>미답변 문의</t>
  </si>
  <si>
    <t>이번 주 실행 과제</t>
  </si>
  <si>
    <t>평균 달성률</t>
  </si>
  <si>
    <t>C. 주간 회의 브리핑</t>
  </si>
  <si>
    <t>직전 주 핵심 마케팅 성과</t>
  </si>
  <si>
    <t>[샘플] 리그램 이벤트로 신규 팔로워 120명 유입, 저장수 목표 초과 달성</t>
  </si>
  <si>
    <t>[샘플] 숏폼 시리즈 2편 게시 — 평균 조회수 직전 주 대비 상승</t>
  </si>
  <si>
    <t>[샘플] DM 문의 응답 지연 1건 발생, 담당 배분 조정 필요</t>
  </si>
  <si>
    <t>[샘플] 다음 주 임원진 보고 자료 초안 준비</t>
  </si>
  <si>
    <t>A. 상시 문의·SNS 관리</t>
  </si>
  <si>
    <t>문의 ID</t>
  </si>
  <si>
    <t>문의 접수일</t>
  </si>
  <si>
    <t>접수 시간</t>
  </si>
  <si>
    <t>채널</t>
  </si>
  <si>
    <t>계정·문의자</t>
  </si>
  <si>
    <t>문의 유형</t>
  </si>
  <si>
    <t>문의 내용 요약</t>
  </si>
  <si>
    <t>긴급도</t>
  </si>
  <si>
    <t>답변 필요 여부</t>
  </si>
  <si>
    <t>답변 기한</t>
  </si>
  <si>
    <t>답변 상태</t>
  </si>
  <si>
    <t>실제 답변일</t>
  </si>
  <si>
    <t>답변 내용 요약</t>
  </si>
  <si>
    <t>추가 확인 필요사항</t>
  </si>
  <si>
    <t>후속 담당자</t>
  </si>
  <si>
    <t>후속 조치 기한</t>
  </si>
  <si>
    <t>후속 조치 상태</t>
  </si>
  <si>
    <t>완료 여부</t>
  </si>
  <si>
    <t>[샘플] Q-001</t>
  </si>
  <si>
    <t>14:20</t>
  </si>
  <si>
    <t>인스타그램 DM</t>
  </si>
  <si>
    <t>sample_account_1</t>
  </si>
  <si>
    <t>협업 제안</t>
  </si>
  <si>
    <t>[샘플] 협업 촬영 문의</t>
  </si>
  <si>
    <t>답변 완료</t>
  </si>
  <si>
    <t>[샘플] 조건 안내 후 회신</t>
  </si>
  <si>
    <t>없음</t>
  </si>
  <si>
    <t/>
  </si>
  <si>
    <t>[샘플] Q-002</t>
  </si>
  <si>
    <t>09:05</t>
  </si>
  <si>
    <t>댓글</t>
  </si>
  <si>
    <t>sample_account_2</t>
  </si>
  <si>
    <t>가입 문의</t>
  </si>
  <si>
    <t>[샘플] 모집 일정 문의</t>
  </si>
  <si>
    <t>보통</t>
  </si>
  <si>
    <t>마케터2</t>
  </si>
  <si>
    <t>미답변</t>
  </si>
  <si>
    <t>모집 일정 확정 대기</t>
  </si>
  <si>
    <t>일정 확정 후 회신</t>
  </si>
  <si>
    <t>[샘플] Q-003</t>
  </si>
  <si>
    <t>18:40</t>
  </si>
  <si>
    <t>이메일</t>
  </si>
  <si>
    <t>sample_account_3</t>
  </si>
  <si>
    <t>기타</t>
  </si>
  <si>
    <t>[샘플] 자료 요청</t>
  </si>
  <si>
    <t>낮음</t>
  </si>
  <si>
    <t>불필요</t>
  </si>
  <si>
    <t>보류</t>
  </si>
  <si>
    <t>B. 주간 마케팅 실행·성과 관리</t>
  </si>
  <si>
    <t>회의일</t>
  </si>
  <si>
    <t>마케팅 과제명</t>
  </si>
  <si>
    <t>제안자</t>
  </si>
  <si>
    <t>실행 담당자</t>
  </si>
  <si>
    <t>목표</t>
  </si>
  <si>
    <t>대상</t>
  </si>
  <si>
    <t>실행 채널</t>
  </si>
  <si>
    <t>실행 방식</t>
  </si>
  <si>
    <t>계획 확정 여부</t>
  </si>
  <si>
    <t>임원진 승인 여부</t>
  </si>
  <si>
    <t>실행 시작일</t>
  </si>
  <si>
    <t>실행 기한</t>
  </si>
  <si>
    <t>실제 실행 내용</t>
  </si>
  <si>
    <t>실행 상태</t>
  </si>
  <si>
    <t>목표 KPI</t>
  </si>
  <si>
    <t>목표 수치</t>
  </si>
  <si>
    <t>실제 성과</t>
  </si>
  <si>
    <t>달성률</t>
  </si>
  <si>
    <t>직전 주 대비 변화</t>
  </si>
  <si>
    <t>성과 분석</t>
  </si>
  <si>
    <t>잘된 점</t>
  </si>
  <si>
    <t>개선 필요사항</t>
  </si>
  <si>
    <t>다음 주 유지 여부</t>
  </si>
  <si>
    <t>다음 주 개선안</t>
  </si>
  <si>
    <t>관련 링크</t>
  </si>
  <si>
    <t>담당자 자체 평가</t>
  </si>
  <si>
    <t>임원진 피드백</t>
  </si>
  <si>
    <t>최종 확인</t>
  </si>
  <si>
    <t>신규 팔로워 확보</t>
  </si>
  <si>
    <t>재학생</t>
  </si>
  <si>
    <t>인스타그램</t>
  </si>
  <si>
    <t>이벤트</t>
  </si>
  <si>
    <t>확정</t>
  </si>
  <si>
    <t>승인 완료</t>
  </si>
  <si>
    <t>[샘플] 리그램 참여 유도 게시물 2건</t>
  </si>
  <si>
    <t>유입수</t>
  </si>
  <si>
    <t>+18%</t>
  </si>
  <si>
    <t>[샘플] 참여 유도 문구가 효과적</t>
  </si>
  <si>
    <t>[샘플] 반응 속도 빠름</t>
  </si>
  <si>
    <t>[샘플] 경품 안내 보완</t>
  </si>
  <si>
    <t>유지</t>
  </si>
  <si>
    <t>[샘플] 스토리 리마인드 추가</t>
  </si>
  <si>
    <t>실행 기록</t>
  </si>
  <si>
    <t>상</t>
  </si>
  <si>
    <t>[샘플] 숏폼 시리즈</t>
  </si>
  <si>
    <t>저장수 증대</t>
  </si>
  <si>
    <t>외부 관심층</t>
  </si>
  <si>
    <t>유튜브</t>
  </si>
  <si>
    <t>콘텐츠</t>
  </si>
  <si>
    <t>[샘플] 숏폼 2편 게시</t>
  </si>
  <si>
    <t>저장수</t>
  </si>
  <si>
    <t>-4%</t>
  </si>
  <si>
    <t>[샘플] 후반부 이탈 발생</t>
  </si>
  <si>
    <t>[샘플] 도입부 반응 양호</t>
  </si>
  <si>
    <t>[샘플] 길이 단축 필요</t>
  </si>
  <si>
    <t>[샘플] 30초로 축약</t>
  </si>
  <si>
    <t>중</t>
  </si>
  <si>
    <t>[샘플] 오프라인 부스</t>
  </si>
  <si>
    <t>대면 접점 확대</t>
  </si>
  <si>
    <t>오프라인</t>
  </si>
  <si>
    <t>부스 운영</t>
  </si>
  <si>
    <t>계획</t>
  </si>
  <si>
    <t>[샘플] 부스 운영 1일</t>
  </si>
  <si>
    <t>전환수</t>
  </si>
  <si>
    <t>신규</t>
  </si>
  <si>
    <t>[샘플] 방문자 대비 전환 저조</t>
  </si>
  <si>
    <t>[샘플] 위치 노출 양호</t>
  </si>
  <si>
    <t>[샘플] 안내 동선 개선</t>
  </si>
  <si>
    <t>[샘플] 배치 재검토</t>
  </si>
  <si>
    <t>달성률 수식 확인 필요</t>
  </si>
  <si>
    <t>※ 이 탭의 목록이 각 팀 탭 드롭다운의 원본입니다. 값을 바꾸면 기존 입력이 목록에서 벗어날 수 있습니다.</t>
  </si>
  <si>
    <t>편집팀 구성원</t>
  </si>
  <si>
    <t>촬영·기획팀 구성원</t>
  </si>
  <si>
    <t>마케팅·관리팀 구성원</t>
  </si>
  <si>
    <t>임원진·승인자</t>
  </si>
  <si>
    <t>요청 부서</t>
  </si>
  <si>
    <t>공통_우선순위</t>
  </si>
  <si>
    <t>공통_리스크 상태</t>
  </si>
  <si>
    <t>공통_진행 상태</t>
  </si>
  <si>
    <t>공통_승인 상태</t>
  </si>
  <si>
    <t>편집_콘텐츠 유형</t>
  </si>
  <si>
    <t>편집_최종 게시 채널</t>
  </si>
  <si>
    <t>편집_제작 진행 상태</t>
  </si>
  <si>
    <t>편집_최종 게시 상태</t>
  </si>
  <si>
    <t>촬영_콘텐츠 형식</t>
  </si>
  <si>
    <t>촬영_섭외 필요 여부</t>
  </si>
  <si>
    <t>촬영_섭외 상태</t>
  </si>
  <si>
    <t>촬영_장소 예약 상태</t>
  </si>
  <si>
    <t>촬영_장비 준비 상태</t>
  </si>
  <si>
    <t>촬영_촬영 실행 상태</t>
  </si>
  <si>
    <t>촬영_편집 방식</t>
  </si>
  <si>
    <t>마케팅_문의 채널</t>
  </si>
  <si>
    <t>마케팅_문의 유형</t>
  </si>
  <si>
    <t>마케팅_답변 상태</t>
  </si>
  <si>
    <t>마케팅_실행 채널</t>
  </si>
  <si>
    <t>마케팅_실행 상태</t>
  </si>
  <si>
    <t>마케팅_KPI 유형</t>
  </si>
  <si>
    <t>기본 SLA 설정_항목</t>
  </si>
  <si>
    <t>기본 SLA 설정_일수</t>
  </si>
  <si>
    <t>승인자1</t>
  </si>
  <si>
    <t>편집팀</t>
  </si>
  <si>
    <t>긴급</t>
  </si>
  <si>
    <t>업무 배정</t>
  </si>
  <si>
    <t>카드뉴스</t>
  </si>
  <si>
    <t>대기</t>
  </si>
  <si>
    <t>미게시</t>
  </si>
  <si>
    <t>미착수</t>
  </si>
  <si>
    <t>미예약</t>
  </si>
  <si>
    <t>미준비</t>
  </si>
  <si>
    <t>자체 편집</t>
  </si>
  <si>
    <t>도달수</t>
  </si>
  <si>
    <t>편집팀 컨셉 공유</t>
  </si>
  <si>
    <t>승인자2</t>
  </si>
  <si>
    <t>촬영·기획팀</t>
  </si>
  <si>
    <t>릴스</t>
  </si>
  <si>
    <t>제작 중</t>
  </si>
  <si>
    <t>예약</t>
  </si>
  <si>
    <t>브이로그</t>
  </si>
  <si>
    <t>촬영 완료</t>
  </si>
  <si>
    <t>답변 중</t>
  </si>
  <si>
    <t>편집팀 컨셉 승인</t>
  </si>
  <si>
    <t>마케팅·관리팀</t>
  </si>
  <si>
    <t>숏폼</t>
  </si>
  <si>
    <t>블로그</t>
  </si>
  <si>
    <t>검토</t>
  </si>
  <si>
    <t>게시 완료</t>
  </si>
  <si>
    <t>스케치</t>
  </si>
  <si>
    <t>확인 중</t>
  </si>
  <si>
    <t>예약 완료</t>
  </si>
  <si>
    <t>준비 완료</t>
  </si>
  <si>
    <t>연기</t>
  </si>
  <si>
    <t>외주</t>
  </si>
  <si>
    <t>일정 문의</t>
  </si>
  <si>
    <t>편집팀 완성본 제출</t>
  </si>
  <si>
    <t>임원진</t>
  </si>
  <si>
    <t>차단</t>
  </si>
  <si>
    <t>검토 요청</t>
  </si>
  <si>
    <t>포스터</t>
  </si>
  <si>
    <t>필름</t>
  </si>
  <si>
    <t>불발</t>
  </si>
  <si>
    <t>취소</t>
  </si>
  <si>
    <t>카카오톡</t>
  </si>
  <si>
    <t>편집팀 완성본 피드백</t>
  </si>
  <si>
    <t>해당 없음</t>
  </si>
  <si>
    <t>촬영팀 섭외</t>
  </si>
  <si>
    <t>수정 중</t>
  </si>
  <si>
    <t>촬영팀 기획안 완성본</t>
  </si>
  <si>
    <t>게시·이관 대기</t>
  </si>
  <si>
    <t>촬영팀 최종 피드백</t>
  </si>
  <si>
    <t>SNS 문의 1차 답변 권장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</si>
</sst>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. mm. dd.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rgb="FFE5E5E5"/>
      </bottom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test/sample-sheet" TargetMode="External"/><Relationship Id="rId2" Type="http://schemas.openxmlformats.org/officeDocument/2006/relationships/hyperlink" Target="https://example.test/sample-sheet" TargetMode="External"/><Relationship Id="rId3" Type="http://schemas.openxmlformats.org/officeDocument/2006/relationships/hyperlink" Target="https://example.test/sample-sheet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test/docs/concept-a" TargetMode="External"/><Relationship Id="rId2" Type="http://schemas.openxmlformats.org/officeDocument/2006/relationships/hyperlink" Target="https://example.test/canva/card-a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test/docs/shoot-draft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test/marketing/1" TargetMode="External"/><Relationship Id="rId2" Type="http://schemas.openxmlformats.org/officeDocument/2006/relationships/hyperlink" Target="https://example.test/marketing/2" TargetMode="External"/><Relationship Id="rId3" Type="http://schemas.openxmlformats.org/officeDocument/2006/relationships/hyperlink" Target="https://example.test/marketing/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10" x14ac:dyDescent="0.25">
      <c r="A2" t="s">
        <v>4</v>
      </c>
      <c r="B2"/>
      <c r="C2"/>
      <c r="D2"/>
      <c r="E2"/>
      <c r="F2"/>
      <c r="G2"/>
      <c r="H2"/>
      <c r="I2"/>
      <c r="J2"/>
    </row>
    <row r="3" spans="1:10" x14ac:dyDescent="0.25">
      <c r="A3" t="s">
        <v>5</v>
      </c>
      <c r="B3"/>
      <c r="C3"/>
      <c r="D3"/>
      <c r="E3"/>
      <c r="F3"/>
      <c r="G3"/>
      <c r="H3"/>
      <c r="I3"/>
      <c r="J3"/>
    </row>
    <row r="5" spans="1:10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 spans="1:10" x14ac:dyDescent="0.25">
      <c r="A6">
        <f>COUNTIFS('01_편집팀'!A:A,"&lt;&gt;")</f>
        <v>5</v>
      </c>
      <c r="B6">
        <f>COUNTIFS('01_편집팀'!C:C,"&lt;&gt;")</f>
        <v>4</v>
      </c>
      <c r="C6">
        <f>COUNTIFS('02_촬영·기획팀'!A:A,"&lt;&gt;")</f>
        <v>1</v>
      </c>
      <c r="D6">
        <f>COUNTIFS('03_마케팅·관리팀'!A:A,"&lt;&gt;")</f>
        <v>3</v>
      </c>
      <c r="E6">
        <f>COUNTIFS(#REF!,"승인 대기")</f>
      </c>
      <c r="F6">
        <f>COUNTIFS(#REF!,"수정 중")</f>
      </c>
      <c r="G6">
        <f>COUNTIFS(#REF!,"&lt;&gt;")</f>
        <v>2</v>
      </c>
      <c r="H6">
        <f>COUNTIFS(#REF!,"&lt;&gt;")</f>
        <v>1</v>
      </c>
      <c r="I6">
        <f>COUNTIFS(#REF!,"지연")</f>
        <v>1</v>
      </c>
      <c r="J6" s="1">
        <f>B6/A6</f>
        <v>0.2</v>
      </c>
    </row>
    <row r="8" spans="1:1" x14ac:dyDescent="0.25">
      <c r="A8" t="s">
        <v>16</v>
      </c>
    </row>
    <row r="9" spans="1:9" x14ac:dyDescent="0.25">
      <c r="A9" t="s">
        <v>17</v>
      </c>
      <c r="B9" t="s">
        <v>18</v>
      </c>
      <c r="C9" t="s">
        <v>19</v>
      </c>
      <c r="D9" t="s">
        <v>10</v>
      </c>
      <c r="E9" t="s">
        <v>14</v>
      </c>
      <c r="F9" t="s">
        <v>20</v>
      </c>
      <c r="G9" t="s">
        <v>21</v>
      </c>
      <c r="H9" t="s">
        <v>22</v>
      </c>
      <c r="I9" t="s">
        <v>23</v>
      </c>
    </row>
    <row r="10" spans="1:9" x14ac:dyDescent="0.25">
      <c r="A10" t="s">
        <v>24</v>
      </c>
      <c r="B10">
        <v>5</v>
      </c>
      <c r="C10">
        <v>3</v>
      </c>
      <c r="D10">
        <v>1</v>
      </c>
      <c r="E10">
        <v>1</v>
      </c>
      <c r="F10">
        <v>1</v>
      </c>
      <c r="G10" s="1">
        <v>0.2</v>
      </c>
      <c r="H10" s="2">
        <v>46227</v>
      </c>
      <c r="I10" t="s">
        <v>25</v>
      </c>
    </row>
    <row r="11" spans="1:9" x14ac:dyDescent="0.25">
      <c r="A11" t="s">
        <v>26</v>
      </c>
      <c r="B11">
        <v>1</v>
      </c>
      <c r="C11">
        <v>1</v>
      </c>
      <c r="D11">
        <v>0</v>
      </c>
      <c r="E11">
        <v>0</v>
      </c>
      <c r="F11">
        <v>0</v>
      </c>
      <c r="G11" s="1">
        <v>0</v>
      </c>
      <c r="H11" s="2">
        <v>46239</v>
      </c>
      <c r="I11" t="s">
        <v>27</v>
      </c>
    </row>
    <row r="12" spans="1:9" x14ac:dyDescent="0.25">
      <c r="A12" t="s">
        <v>28</v>
      </c>
      <c r="B12">
        <v>3</v>
      </c>
      <c r="C12">
        <v>2</v>
      </c>
      <c r="D12">
        <v>1</v>
      </c>
      <c r="E12">
        <v>0</v>
      </c>
      <c r="F12">
        <v>0</v>
      </c>
      <c r="G12" s="1">
        <v>0</v>
      </c>
      <c r="H12" s="2">
        <v>46226</v>
      </c>
      <c r="I12" t="s">
        <v>29</v>
      </c>
    </row>
    <row r="13" spans="1:3" x14ac:dyDescent="0.25">
      <c r="A13" t="s">
        <v>30</v>
      </c>
      <c r="B13">
        <f>SUM(B10:B12)</f>
        <v>9</v>
      </c>
      <c r="C13">
        <f>SUM(C10:C12)</f>
        <v>6</v>
      </c>
    </row>
    <row r="15" spans="1:1" x14ac:dyDescent="0.25">
      <c r="A15" t="s">
        <v>31</v>
      </c>
    </row>
    <row r="16" spans="1:10" x14ac:dyDescent="0.25">
      <c r="A16" t="s">
        <v>17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</row>
    <row r="17" spans="1:10" x14ac:dyDescent="0.25">
      <c r="A17" t="s">
        <v>24</v>
      </c>
      <c r="B17" t="s">
        <v>41</v>
      </c>
      <c r="C17" t="s">
        <v>42</v>
      </c>
      <c r="D17" t="s">
        <v>19</v>
      </c>
      <c r="E17" t="s">
        <v>43</v>
      </c>
      <c r="F17" s="2">
        <v>46227</v>
      </c>
      <c r="G17">
        <v>-2</v>
      </c>
      <c r="H17" t="s">
        <v>44</v>
      </c>
      <c r="I17" t="s">
        <v>14</v>
      </c>
      <c r="J17" t="s">
        <v>45</v>
      </c>
    </row>
    <row r="18" spans="1:10" x14ac:dyDescent="0.25">
      <c r="A18" t="s">
        <v>26</v>
      </c>
      <c r="B18" t="s">
        <v>46</v>
      </c>
      <c r="C18" t="s">
        <v>47</v>
      </c>
      <c r="D18" t="s">
        <v>48</v>
      </c>
      <c r="E18" t="s">
        <v>49</v>
      </c>
      <c r="F18" s="2">
        <v>46239</v>
      </c>
      <c r="G18">
        <v>5</v>
      </c>
      <c r="H18" t="s">
        <v>50</v>
      </c>
      <c r="I18" t="s">
        <v>51</v>
      </c>
      <c r="J18" t="s">
        <v>45</v>
      </c>
    </row>
    <row r="19" spans="1:10" x14ac:dyDescent="0.25">
      <c r="A19" t="s">
        <v>28</v>
      </c>
      <c r="B19" t="s">
        <v>52</v>
      </c>
      <c r="C19" t="s">
        <v>53</v>
      </c>
      <c r="D19" t="s">
        <v>19</v>
      </c>
      <c r="E19" t="s">
        <v>54</v>
      </c>
      <c r="F19" s="2">
        <v>46226</v>
      </c>
      <c r="G19">
        <v>0</v>
      </c>
      <c r="H19" t="s">
        <v>55</v>
      </c>
      <c r="I19" t="s">
        <v>56</v>
      </c>
      <c r="J19" t="s">
        <v>45</v>
      </c>
    </row>
    <row r="41" ht="18" customHeight="1" s="3" customFormat="1" x14ac:dyDescent="0.25"/>
    <row r="42" ht="18" customHeight="1" s="3" customFormat="1" x14ac:dyDescent="0.25"/>
    <row r="43" ht="18" customHeight="1" s="3" customFormat="1" x14ac:dyDescent="0.25"/>
    <row r="44" ht="18" customHeight="1" s="3" customFormat="1" x14ac:dyDescent="0.25"/>
    <row r="45" ht="18" customHeight="1" s="3" customFormat="1" x14ac:dyDescent="0.25"/>
    <row r="46" ht="18" customHeight="1" s="3" customFormat="1" x14ac:dyDescent="0.25"/>
    <row r="47" ht="18" customHeight="1" s="3" customFormat="1" x14ac:dyDescent="0.25"/>
    <row r="48" ht="18" customHeight="1" s="3" customFormat="1" x14ac:dyDescent="0.25"/>
    <row r="49" ht="18" customHeight="1" s="3" customFormat="1" x14ac:dyDescent="0.25"/>
    <row r="50" ht="18" customHeight="1" s="3" customFormat="1" x14ac:dyDescent="0.25"/>
    <row r="51" ht="18" customHeight="1" s="3" customFormat="1" x14ac:dyDescent="0.25"/>
    <row r="52" ht="18" customHeight="1" s="3" customFormat="1" x14ac:dyDescent="0.25"/>
    <row r="53" ht="18" customHeight="1" s="3" customFormat="1" x14ac:dyDescent="0.25"/>
    <row r="54" ht="18" customHeight="1" s="3" customFormat="1" x14ac:dyDescent="0.25"/>
    <row r="55" ht="18" customHeight="1" s="3" customFormat="1" x14ac:dyDescent="0.25"/>
    <row r="56" ht="18" customHeight="1" s="3" customFormat="1" x14ac:dyDescent="0.25"/>
    <row r="57" ht="18" customHeight="1" s="3" customFormat="1" x14ac:dyDescent="0.25"/>
    <row r="58" ht="18" customHeight="1" s="3" customFormat="1" x14ac:dyDescent="0.25"/>
    <row r="59" ht="18" customHeight="1" s="3" customFormat="1" x14ac:dyDescent="0.25"/>
    <row r="60" ht="18" customHeight="1" s="3" customFormat="1" x14ac:dyDescent="0.25"/>
    <row r="61" ht="18" customHeight="1" s="3" customFormat="1" x14ac:dyDescent="0.25"/>
    <row r="62" ht="18" customHeight="1" s="3" customFormat="1" x14ac:dyDescent="0.25"/>
    <row r="63" ht="18" customHeight="1" s="3" customFormat="1" x14ac:dyDescent="0.25"/>
    <row r="64" ht="18" customHeight="1" s="3" customFormat="1" x14ac:dyDescent="0.25"/>
    <row r="65" ht="18" customHeight="1" s="3" customFormat="1" x14ac:dyDescent="0.25"/>
    <row r="66" ht="18" customHeight="1" s="3" customFormat="1" x14ac:dyDescent="0.25"/>
    <row r="67" ht="18" customHeight="1" s="3" customFormat="1" x14ac:dyDescent="0.25"/>
    <row r="68" ht="18" customHeight="1" s="3" customFormat="1" x14ac:dyDescent="0.25"/>
    <row r="69" ht="18" customHeight="1" s="3" customFormat="1" x14ac:dyDescent="0.25"/>
    <row r="70" ht="18" customHeight="1" s="3" customFormat="1" x14ac:dyDescent="0.25"/>
    <row r="71" ht="18" customHeight="1" s="3" customFormat="1" x14ac:dyDescent="0.25"/>
    <row r="72" ht="18" customHeight="1" s="3" customFormat="1" x14ac:dyDescent="0.25"/>
    <row r="73" ht="18" customHeight="1" s="3" customFormat="1" x14ac:dyDescent="0.25"/>
    <row r="74" ht="18" customHeight="1" s="3" customFormat="1" x14ac:dyDescent="0.25"/>
    <row r="75" ht="18" customHeight="1" s="3" customFormat="1" x14ac:dyDescent="0.25"/>
    <row r="76" ht="18" customHeight="1" s="3" customFormat="1" x14ac:dyDescent="0.25"/>
    <row r="77" ht="18" customHeight="1" s="3" customFormat="1" x14ac:dyDescent="0.25"/>
    <row r="78" ht="18" customHeight="1" s="3" customFormat="1" x14ac:dyDescent="0.25"/>
    <row r="79" ht="18" customHeight="1" s="3" customFormat="1" x14ac:dyDescent="0.25"/>
    <row r="80" ht="18" customHeight="1" s="3" customFormat="1" x14ac:dyDescent="0.25"/>
    <row r="81" ht="18" customHeight="1" s="3" customFormat="1" x14ac:dyDescent="0.25"/>
    <row r="82" ht="18" customHeight="1" s="3" customFormat="1" x14ac:dyDescent="0.25"/>
    <row r="83" ht="18" customHeight="1" s="3" customFormat="1" x14ac:dyDescent="0.25"/>
    <row r="84" ht="18" customHeight="1" s="3" customFormat="1" x14ac:dyDescent="0.25"/>
    <row r="85" ht="18" customHeight="1" s="3" customFormat="1" x14ac:dyDescent="0.25"/>
    <row r="86" ht="18" customHeight="1" s="3" customFormat="1" x14ac:dyDescent="0.25"/>
    <row r="87" ht="18" customHeight="1" s="3" customFormat="1" x14ac:dyDescent="0.25"/>
    <row r="88" ht="18" customHeight="1" s="3" customFormat="1" x14ac:dyDescent="0.25"/>
    <row r="89" ht="18" customHeight="1" s="3" customFormat="1" x14ac:dyDescent="0.25"/>
    <row r="90" ht="18" customHeight="1" s="3" customFormat="1" x14ac:dyDescent="0.25"/>
    <row r="91" ht="18" customHeight="1" s="3" customFormat="1" x14ac:dyDescent="0.25"/>
    <row r="92" ht="18" customHeight="1" s="3" customFormat="1" x14ac:dyDescent="0.25"/>
    <row r="93" ht="18" customHeight="1" s="3" customFormat="1" x14ac:dyDescent="0.25"/>
    <row r="94" ht="18" customHeight="1" s="3" customFormat="1" x14ac:dyDescent="0.25"/>
    <row r="95" ht="18" customHeight="1" s="3" customFormat="1" x14ac:dyDescent="0.25"/>
    <row r="96" ht="18" customHeight="1" s="3" customFormat="1" x14ac:dyDescent="0.25"/>
    <row r="97" ht="18" customHeight="1" s="3" customFormat="1" x14ac:dyDescent="0.25"/>
    <row r="98" ht="18" customHeight="1" s="3" customFormat="1" x14ac:dyDescent="0.25"/>
    <row r="99" ht="18" customHeight="1" s="3" customFormat="1" x14ac:dyDescent="0.25"/>
    <row r="100" ht="18" customHeight="1" s="3" customFormat="1" x14ac:dyDescent="0.25"/>
    <row r="101" ht="18" customHeight="1" s="3" customFormat="1" x14ac:dyDescent="0.25"/>
    <row r="102" ht="18" customHeight="1" s="3" customFormat="1" x14ac:dyDescent="0.25"/>
    <row r="103" ht="18" customHeight="1" s="3" customFormat="1" x14ac:dyDescent="0.25"/>
    <row r="104" ht="18" customHeight="1" s="3" customFormat="1" x14ac:dyDescent="0.25"/>
    <row r="105" ht="18" customHeight="1" s="3" customFormat="1" x14ac:dyDescent="0.25"/>
    <row r="106" ht="18" customHeight="1" s="3" customFormat="1" x14ac:dyDescent="0.25"/>
    <row r="107" ht="18" customHeight="1" s="3" customFormat="1" x14ac:dyDescent="0.25"/>
    <row r="108" ht="18" customHeight="1" s="3" customFormat="1" x14ac:dyDescent="0.25"/>
    <row r="109" ht="18" customHeight="1" s="3" customFormat="1" x14ac:dyDescent="0.25"/>
    <row r="110" ht="18" customHeight="1" s="3" customFormat="1" x14ac:dyDescent="0.25"/>
    <row r="111" ht="18" customHeight="1" s="3" customFormat="1" x14ac:dyDescent="0.25"/>
    <row r="112" ht="18" customHeight="1" s="3" customFormat="1" x14ac:dyDescent="0.25"/>
    <row r="113" ht="18" customHeight="1" s="3" customFormat="1" x14ac:dyDescent="0.25"/>
    <row r="114" ht="18" customHeight="1" s="3" customFormat="1" x14ac:dyDescent="0.25"/>
    <row r="115" ht="18" customHeight="1" s="3" customFormat="1" x14ac:dyDescent="0.25"/>
    <row r="116" ht="18" customHeight="1" s="3" customFormat="1" x14ac:dyDescent="0.25"/>
    <row r="117" ht="18" customHeight="1" s="3" customFormat="1" x14ac:dyDescent="0.25"/>
    <row r="118" ht="18" customHeight="1" s="3" customFormat="1" x14ac:dyDescent="0.25"/>
    <row r="119" ht="18" customHeight="1" s="3" customFormat="1" x14ac:dyDescent="0.25"/>
    <row r="120" ht="18" customHeight="1" s="3" customFormat="1" x14ac:dyDescent="0.25"/>
    <row r="121" ht="18" customHeight="1" s="3" customFormat="1" x14ac:dyDescent="0.25"/>
    <row r="122" ht="18" customHeight="1" s="3" customFormat="1" x14ac:dyDescent="0.25"/>
    <row r="123" ht="18" customHeight="1" s="3" customFormat="1" x14ac:dyDescent="0.25"/>
    <row r="124" ht="18" customHeight="1" s="3" customFormat="1" x14ac:dyDescent="0.25"/>
    <row r="125" ht="18" customHeight="1" s="3" customFormat="1" x14ac:dyDescent="0.25"/>
    <row r="126" ht="18" customHeight="1" s="3" customFormat="1" x14ac:dyDescent="0.25"/>
    <row r="127" ht="18" customHeight="1" s="3" customFormat="1" x14ac:dyDescent="0.25"/>
    <row r="128" ht="18" customHeight="1" s="3" customFormat="1" x14ac:dyDescent="0.25"/>
    <row r="129" ht="18" customHeight="1" s="3" customFormat="1" x14ac:dyDescent="0.25"/>
    <row r="130" ht="18" customHeight="1" s="3" customFormat="1" x14ac:dyDescent="0.25"/>
    <row r="131" ht="18" customHeight="1" s="3" customFormat="1" x14ac:dyDescent="0.25"/>
    <row r="132" ht="18" customHeight="1" s="3" customFormat="1" x14ac:dyDescent="0.25"/>
    <row r="133" ht="18" customHeight="1" s="3" customFormat="1" x14ac:dyDescent="0.25"/>
    <row r="134" ht="18" customHeight="1" s="3" customFormat="1" x14ac:dyDescent="0.25"/>
    <row r="135" ht="18" customHeight="1" s="3" customFormat="1" x14ac:dyDescent="0.25"/>
    <row r="136" ht="18" customHeight="1" s="3" customFormat="1" x14ac:dyDescent="0.25"/>
    <row r="137" ht="18" customHeight="1" s="3" customFormat="1" x14ac:dyDescent="0.25"/>
    <row r="138" ht="18" customHeight="1" s="3" customFormat="1" x14ac:dyDescent="0.25"/>
    <row r="139" ht="18" customHeight="1" s="3" customFormat="1" x14ac:dyDescent="0.25"/>
    <row r="140" ht="18" customHeight="1" s="3" customFormat="1" x14ac:dyDescent="0.25"/>
    <row r="141" ht="18" customHeight="1" s="3" customFormat="1" x14ac:dyDescent="0.25"/>
    <row r="142" ht="18" customHeight="1" s="3" customFormat="1" x14ac:dyDescent="0.25"/>
    <row r="143" ht="18" customHeight="1" s="3" customFormat="1" x14ac:dyDescent="0.25"/>
    <row r="144" ht="18" customHeight="1" s="3" customFormat="1" x14ac:dyDescent="0.25"/>
    <row r="145" ht="18" customHeight="1" s="3" customFormat="1" x14ac:dyDescent="0.25"/>
    <row r="146" ht="18" customHeight="1" s="3" customFormat="1" x14ac:dyDescent="0.25"/>
    <row r="147" ht="18" customHeight="1" s="3" customFormat="1" x14ac:dyDescent="0.25"/>
    <row r="148" ht="18" customHeight="1" s="3" customFormat="1" x14ac:dyDescent="0.25"/>
    <row r="149" ht="18" customHeight="1" s="3" customFormat="1" x14ac:dyDescent="0.25"/>
    <row r="150" ht="18" customHeight="1" s="3" customFormat="1" x14ac:dyDescent="0.25"/>
    <row r="151" ht="18" customHeight="1" s="3" customFormat="1" x14ac:dyDescent="0.25"/>
    <row r="152" ht="18" customHeight="1" s="3" customFormat="1" x14ac:dyDescent="0.25"/>
    <row r="153" ht="18" customHeight="1" s="3" customFormat="1" x14ac:dyDescent="0.25"/>
    <row r="154" ht="18" customHeight="1" s="3" customFormat="1" x14ac:dyDescent="0.25"/>
    <row r="155" ht="18" customHeight="1" s="3" customFormat="1" x14ac:dyDescent="0.25"/>
    <row r="156" ht="18" customHeight="1" s="3" customFormat="1" x14ac:dyDescent="0.25"/>
    <row r="157" ht="18" customHeight="1" s="3" customFormat="1" x14ac:dyDescent="0.25"/>
    <row r="158" ht="18" customHeight="1" s="3" customFormat="1" x14ac:dyDescent="0.25"/>
    <row r="159" ht="18" customHeight="1" s="3" customFormat="1" x14ac:dyDescent="0.25"/>
    <row r="160" ht="18" customHeight="1" s="3" customFormat="1" x14ac:dyDescent="0.25"/>
    <row r="161" ht="18" customHeight="1" s="3" customFormat="1" x14ac:dyDescent="0.25"/>
    <row r="162" ht="18" customHeight="1" s="3" customFormat="1" x14ac:dyDescent="0.25"/>
    <row r="163" ht="18" customHeight="1" s="3" customFormat="1" x14ac:dyDescent="0.25"/>
    <row r="164" ht="18" customHeight="1" s="3" customFormat="1" x14ac:dyDescent="0.25"/>
    <row r="165" ht="18" customHeight="1" s="3" customFormat="1" x14ac:dyDescent="0.25"/>
    <row r="166" ht="18" customHeight="1" s="3" customFormat="1" x14ac:dyDescent="0.25"/>
    <row r="167" ht="18" customHeight="1" s="3" customFormat="1" x14ac:dyDescent="0.25"/>
    <row r="168" ht="18" customHeight="1" s="3" customFormat="1" x14ac:dyDescent="0.25"/>
    <row r="169" ht="18" customHeight="1" s="3" customFormat="1" x14ac:dyDescent="0.25"/>
    <row r="170" ht="18" customHeight="1" s="3" customFormat="1" x14ac:dyDescent="0.25"/>
    <row r="171" ht="18" customHeight="1" s="3" customFormat="1" x14ac:dyDescent="0.25"/>
    <row r="172" ht="18" customHeight="1" s="3" customFormat="1" x14ac:dyDescent="0.25"/>
    <row r="173" ht="18" customHeight="1" s="3" customFormat="1" x14ac:dyDescent="0.25"/>
    <row r="174" ht="18" customHeight="1" s="3" customFormat="1" x14ac:dyDescent="0.25"/>
    <row r="175" ht="18" customHeight="1" s="3" customFormat="1" x14ac:dyDescent="0.25"/>
    <row r="176" ht="18" customHeight="1" s="3" customFormat="1" x14ac:dyDescent="0.25"/>
    <row r="177" ht="18" customHeight="1" s="3" customFormat="1" x14ac:dyDescent="0.25"/>
    <row r="178" ht="18" customHeight="1" s="3" customFormat="1" x14ac:dyDescent="0.25"/>
    <row r="179" ht="18" customHeight="1" s="3" customFormat="1" x14ac:dyDescent="0.25"/>
    <row r="180" ht="18" customHeight="1" s="3" customFormat="1" x14ac:dyDescent="0.25"/>
    <row r="181" ht="18" customHeight="1" s="3" customFormat="1" x14ac:dyDescent="0.25"/>
    <row r="182" ht="18" customHeight="1" s="3" customFormat="1" x14ac:dyDescent="0.25"/>
    <row r="183" ht="18" customHeight="1" s="3" customFormat="1" x14ac:dyDescent="0.25"/>
    <row r="184" ht="18" customHeight="1" s="3" customFormat="1" x14ac:dyDescent="0.25"/>
    <row r="185" ht="18" customHeight="1" s="3" customFormat="1" x14ac:dyDescent="0.25"/>
    <row r="186" ht="18" customHeight="1" s="3" customFormat="1" x14ac:dyDescent="0.25"/>
    <row r="187" ht="18" customHeight="1" s="3" customFormat="1" x14ac:dyDescent="0.25"/>
    <row r="188" ht="18" customHeight="1" s="3" customFormat="1" x14ac:dyDescent="0.25"/>
    <row r="189" ht="18" customHeight="1" s="3" customFormat="1" x14ac:dyDescent="0.25"/>
    <row r="190" ht="18" customHeight="1" s="3" customFormat="1" x14ac:dyDescent="0.25"/>
    <row r="191" ht="18" customHeight="1" s="3" customFormat="1" x14ac:dyDescent="0.25"/>
    <row r="192" ht="18" customHeight="1" s="3" customFormat="1" x14ac:dyDescent="0.25"/>
    <row r="193" ht="18" customHeight="1" s="3" customFormat="1" x14ac:dyDescent="0.25"/>
    <row r="194" ht="18" customHeight="1" s="3" customFormat="1" x14ac:dyDescent="0.25"/>
    <row r="195" ht="18" customHeight="1" s="3" customFormat="1" x14ac:dyDescent="0.25"/>
    <row r="196" ht="18" customHeight="1" s="3" customFormat="1" x14ac:dyDescent="0.25"/>
    <row r="197" ht="18" customHeight="1" s="3" customFormat="1" x14ac:dyDescent="0.25"/>
    <row r="198" ht="18" customHeight="1" s="3" customFormat="1" x14ac:dyDescent="0.25"/>
    <row r="199" ht="18" customHeight="1" s="3" customFormat="1" x14ac:dyDescent="0.25"/>
    <row r="200" ht="18" customHeight="1" s="3" customFormat="1" x14ac:dyDescent="0.25"/>
  </sheetData>
  <mergeCells count="2">
    <mergeCell ref="A2:J2"/>
    <mergeCell ref="A3:J3"/>
  </mergeCells>
  <hyperlinks>
    <hyperlink ref="J17" r:id="rId1"/>
    <hyperlink ref="J18" r:id="rId2"/>
    <hyperlink ref="J1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FormatPr defaultRowHeight="15" outlineLevelRow="0" outlineLevelCol="0" x14ac:dyDescent="55"/>
  <sheetData>
    <row r="1" spans="1:5" x14ac:dyDescent="0.25">
      <c r="A1" t="s">
        <v>57</v>
      </c>
      <c r="B1" t="s">
        <v>24</v>
      </c>
      <c r="C1" t="s">
        <v>26</v>
      </c>
      <c r="D1" t="s">
        <v>28</v>
      </c>
      <c r="E1" t="s">
        <v>58</v>
      </c>
    </row>
    <row r="2" spans="1:16" x14ac:dyDescent="0.25">
      <c r="A2" t="s">
        <v>59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 spans="1:16" x14ac:dyDescent="0.25">
      <c r="A3" t="s">
        <v>60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4" x14ac:dyDescent="0.25">
      <c r="A4" t="s">
        <v>18</v>
      </c>
      <c r="B4" t="s">
        <v>19</v>
      </c>
      <c r="C4" t="s">
        <v>14</v>
      </c>
      <c r="D4" t="s">
        <v>21</v>
      </c>
    </row>
    <row r="5" spans="1:4" x14ac:dyDescent="0.25">
      <c r="A5">
        <f>COUNTIFS(A10:A100,"&lt;&gt;")</f>
        <v>5</v>
      </c>
      <c r="B5">
        <f>COUNTIFS(A10:A100,"&lt;&gt;")</f>
        <v>3</v>
      </c>
      <c r="C5">
        <f>COUNTIFS(A10:A100,"&lt;&gt;")</f>
        <v>1</v>
      </c>
      <c r="D5">
        <f>B5/A5</f>
      </c>
    </row>
    <row r="6" spans="1:16" x14ac:dyDescent="0.25">
      <c r="A6" t="s">
        <v>61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8" spans="1:16" x14ac:dyDescent="0.25">
      <c r="A8" t="s">
        <v>62</v>
      </c>
      <c r="B8"/>
      <c r="C8"/>
      <c r="D8"/>
      <c r="E8" t="s">
        <v>63</v>
      </c>
      <c r="F8"/>
      <c r="G8"/>
      <c r="H8"/>
      <c r="I8" t="s">
        <v>64</v>
      </c>
      <c r="J8"/>
      <c r="K8"/>
      <c r="L8"/>
      <c r="M8" t="s">
        <v>65</v>
      </c>
      <c r="N8"/>
      <c r="O8"/>
      <c r="P8" t="s">
        <v>66</v>
      </c>
    </row>
    <row r="9" spans="1:16" x14ac:dyDescent="0.25">
      <c r="A9" t="s">
        <v>32</v>
      </c>
      <c r="B9" t="s">
        <v>33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69</v>
      </c>
      <c r="J9" t="s">
        <v>70</v>
      </c>
      <c r="K9" t="s">
        <v>71</v>
      </c>
      <c r="L9" t="s">
        <v>72</v>
      </c>
      <c r="M9" t="s">
        <v>69</v>
      </c>
      <c r="N9" t="s">
        <v>70</v>
      </c>
      <c r="O9" t="s">
        <v>72</v>
      </c>
      <c r="P9" t="s">
        <v>66</v>
      </c>
    </row>
    <row r="10" spans="1:16" x14ac:dyDescent="0.25">
      <c r="A10" t="s">
        <v>41</v>
      </c>
      <c r="B10" t="s">
        <v>42</v>
      </c>
      <c r="C10" s="1">
        <f t="shared" ref="C10:C11" si="0">COUNTIF(H10:O10,TRUE)/3</f>
        <v>0.33</v>
      </c>
      <c r="D10" s="2">
        <v>46223</v>
      </c>
      <c r="E10" s="2">
        <f t="shared" ref="E10:E11" si="1">D10+2</f>
        <v>46225</v>
      </c>
      <c r="F10" t="s">
        <v>73</v>
      </c>
      <c r="G10" t="s">
        <v>74</v>
      </c>
      <c r="H10" t="b">
        <v>1</v>
      </c>
      <c r="I10" s="2">
        <v>46228</v>
      </c>
      <c r="J10" s="2">
        <v>46228</v>
      </c>
      <c r="K10" t="s">
        <v>75</v>
      </c>
      <c r="L10" t="b">
        <v>0</v>
      </c>
      <c r="M10" s="2">
        <v>46230</v>
      </c>
      <c r="O10" t="b">
        <v>1</v>
      </c>
      <c r="P10" t="s">
        <v>76</v>
      </c>
    </row>
    <row r="11" spans="1:16" x14ac:dyDescent="0.25">
      <c r="A11" t="s">
        <v>77</v>
      </c>
      <c r="B11" t="s">
        <v>78</v>
      </c>
      <c r="C11">
        <f t="shared" si="0"/>
      </c>
      <c r="D11">
        <v>46000</v>
      </c>
      <c r="E11">
        <f t="shared" si="1"/>
      </c>
      <c r="H11" t="b">
        <v>0</v>
      </c>
      <c r="P11" t="s">
        <v>79</v>
      </c>
    </row>
    <row r="12" spans="1:8" x14ac:dyDescent="0.25">
      <c r="A12" t="s">
        <v>80</v>
      </c>
      <c r="B12" t="s">
        <v>81</v>
      </c>
      <c r="E12" t="s">
        <v>82</v>
      </c>
      <c r="F12" t="s">
        <v>83</v>
      </c>
      <c r="G12" t="e">
        <v>#REF!</v>
      </c>
      <c r="H12" t="b">
        <v>0</v>
      </c>
    </row>
    <row r="13" hidden="1" spans="1:4" x14ac:dyDescent="0.25">
      <c r="A13" t="s">
        <v>84</v>
      </c>
      <c r="B13" t="s">
        <v>42</v>
      </c>
      <c r="D13" s="2">
        <v>46221</v>
      </c>
    </row>
    <row r="14" spans="1:4" x14ac:dyDescent="0.25">
      <c r="A14" t="s">
        <v>85</v>
      </c>
      <c r="B14" t="s">
        <v>78</v>
      </c>
      <c r="D14" s="2">
        <v>46224</v>
      </c>
    </row>
    <row r="15" spans="1:16" x14ac:dyDescent="0.25">
      <c r="A15"/>
      <c r="B15" t="s">
        <v>81</v>
      </c>
      <c r="D15" s="2">
        <v>46224</v>
      </c>
      <c r="P15" t="s">
        <v>86</v>
      </c>
    </row>
  </sheetData>
  <mergeCells count="8">
    <mergeCell ref="A2:P2"/>
    <mergeCell ref="A3:P3"/>
    <mergeCell ref="A6:P6"/>
    <mergeCell ref="A8:D8"/>
    <mergeCell ref="E8:H8"/>
    <mergeCell ref="I8:L8"/>
    <mergeCell ref="M8:O8"/>
    <mergeCell ref="A14:A15"/>
  </mergeCells>
  <hyperlinks>
    <hyperlink ref="G10" r:id="rId1"/>
    <hyperlink ref="K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5"/>
  <sheetFormatPr defaultRowHeight="15" outlineLevelRow="0" outlineLevelCol="0" x14ac:dyDescent="55"/>
  <sheetData>
    <row r="1" spans="1:5" x14ac:dyDescent="0.25">
      <c r="A1" t="s">
        <v>57</v>
      </c>
      <c r="B1" t="s">
        <v>24</v>
      </c>
      <c r="C1" t="s">
        <v>26</v>
      </c>
      <c r="D1" t="s">
        <v>28</v>
      </c>
      <c r="E1" t="s">
        <v>58</v>
      </c>
    </row>
    <row r="2" spans="1:71" x14ac:dyDescent="0.25">
      <c r="A2" t="s">
        <v>59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</row>
    <row r="3" spans="1:71" x14ac:dyDescent="0.25">
      <c r="A3" t="s">
        <v>60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1:4" x14ac:dyDescent="0.25">
      <c r="A4" t="s">
        <v>18</v>
      </c>
      <c r="B4" t="s">
        <v>87</v>
      </c>
      <c r="C4" t="s">
        <v>88</v>
      </c>
      <c r="D4" t="s">
        <v>21</v>
      </c>
    </row>
    <row r="5" spans="1:4" x14ac:dyDescent="0.25">
      <c r="A5">
        <f>COUNTIFS(A10:A100,"&lt;&gt;")</f>
        <v>1</v>
      </c>
      <c r="B5">
        <f>COUNTIFS(O10:O100,"미착수")</f>
        <v>1</v>
      </c>
      <c r="C5">
        <f>COUNTIFS(U10:U100,"&lt;&gt;")</f>
        <v>1</v>
      </c>
      <c r="D5">
        <f>D5/A5</f>
      </c>
    </row>
    <row r="6" spans="1:71" x14ac:dyDescent="0.25">
      <c r="A6" t="s">
        <v>61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</row>
    <row r="7" spans="1:8" x14ac:dyDescent="0.25">
      <c r="A7" t="s">
        <v>89</v>
      </c>
      <c r="B7" t="s">
        <v>90</v>
      </c>
      <c r="C7" t="s">
        <v>91</v>
      </c>
      <c r="D7" t="s">
        <v>47</v>
      </c>
      <c r="E7" t="s">
        <v>92</v>
      </c>
      <c r="F7" t="s">
        <v>93</v>
      </c>
      <c r="G7" t="s">
        <v>23</v>
      </c>
      <c r="H7" t="s">
        <v>94</v>
      </c>
    </row>
    <row r="8" spans="1:71" x14ac:dyDescent="0.25">
      <c r="A8" t="s">
        <v>62</v>
      </c>
      <c r="B8"/>
      <c r="C8"/>
      <c r="D8"/>
      <c r="E8"/>
      <c r="F8"/>
      <c r="G8"/>
      <c r="H8"/>
      <c r="I8"/>
      <c r="J8"/>
      <c r="K8" t="s">
        <v>95</v>
      </c>
      <c r="L8"/>
      <c r="M8"/>
      <c r="N8"/>
      <c r="O8"/>
      <c r="P8"/>
      <c r="Q8"/>
      <c r="R8"/>
      <c r="S8"/>
      <c r="T8"/>
      <c r="U8" t="s">
        <v>96</v>
      </c>
      <c r="V8"/>
      <c r="W8"/>
      <c r="X8"/>
      <c r="Y8"/>
      <c r="Z8"/>
      <c r="AA8"/>
      <c r="AB8"/>
      <c r="AC8"/>
      <c r="AD8" t="s">
        <v>97</v>
      </c>
      <c r="AE8"/>
      <c r="AF8"/>
      <c r="AG8"/>
      <c r="AH8"/>
      <c r="AI8"/>
      <c r="AJ8"/>
      <c r="AK8" t="s">
        <v>98</v>
      </c>
      <c r="AL8"/>
      <c r="AM8"/>
      <c r="AN8"/>
      <c r="AO8"/>
      <c r="AP8"/>
      <c r="AQ8"/>
      <c r="AR8"/>
      <c r="AS8" t="s">
        <v>99</v>
      </c>
      <c r="AT8"/>
      <c r="AU8"/>
      <c r="AV8"/>
      <c r="AW8"/>
      <c r="AX8"/>
      <c r="AY8"/>
      <c r="AZ8"/>
      <c r="BA8"/>
      <c r="BB8" t="s">
        <v>100</v>
      </c>
      <c r="BC8"/>
      <c r="BD8"/>
      <c r="BE8"/>
      <c r="BF8"/>
      <c r="BG8"/>
      <c r="BH8"/>
      <c r="BI8"/>
      <c r="BJ8"/>
      <c r="BK8" t="s">
        <v>101</v>
      </c>
      <c r="BL8"/>
      <c r="BM8"/>
      <c r="BN8"/>
      <c r="BO8"/>
      <c r="BP8"/>
      <c r="BQ8"/>
      <c r="BR8"/>
      <c r="BS8"/>
    </row>
    <row r="9" spans="1:71" x14ac:dyDescent="0.25">
      <c r="A9" t="s">
        <v>102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 t="s">
        <v>115</v>
      </c>
      <c r="O9" t="s">
        <v>116</v>
      </c>
      <c r="P9" t="s">
        <v>117</v>
      </c>
      <c r="Q9" t="s">
        <v>118</v>
      </c>
      <c r="R9" t="s">
        <v>119</v>
      </c>
      <c r="S9" t="s">
        <v>120</v>
      </c>
      <c r="T9" t="s">
        <v>121</v>
      </c>
      <c r="U9" t="s">
        <v>122</v>
      </c>
      <c r="V9" t="s">
        <v>123</v>
      </c>
      <c r="W9" t="s">
        <v>124</v>
      </c>
      <c r="X9" t="s">
        <v>125</v>
      </c>
      <c r="Y9" t="s">
        <v>126</v>
      </c>
      <c r="Z9" t="s">
        <v>127</v>
      </c>
      <c r="AA9" t="s">
        <v>128</v>
      </c>
      <c r="AB9" t="s">
        <v>129</v>
      </c>
      <c r="AC9" t="s">
        <v>130</v>
      </c>
      <c r="AD9" t="s">
        <v>131</v>
      </c>
      <c r="AE9" t="s">
        <v>132</v>
      </c>
      <c r="AF9" t="s">
        <v>133</v>
      </c>
      <c r="AG9" t="s">
        <v>134</v>
      </c>
      <c r="AH9" t="s">
        <v>135</v>
      </c>
      <c r="AI9" t="s">
        <v>136</v>
      </c>
      <c r="AJ9" t="s">
        <v>137</v>
      </c>
      <c r="AK9" t="s">
        <v>138</v>
      </c>
      <c r="AL9" t="s">
        <v>139</v>
      </c>
      <c r="AM9" t="s">
        <v>140</v>
      </c>
      <c r="AN9" t="s">
        <v>141</v>
      </c>
      <c r="AO9" t="s">
        <v>142</v>
      </c>
      <c r="AP9" t="s">
        <v>143</v>
      </c>
      <c r="AQ9" t="s">
        <v>144</v>
      </c>
      <c r="AR9" t="s">
        <v>145</v>
      </c>
      <c r="AS9" t="s">
        <v>146</v>
      </c>
      <c r="AT9" t="s">
        <v>147</v>
      </c>
      <c r="AU9" t="s">
        <v>148</v>
      </c>
      <c r="AV9" t="s">
        <v>149</v>
      </c>
      <c r="AW9" t="s">
        <v>150</v>
      </c>
      <c r="AX9" t="s">
        <v>151</v>
      </c>
      <c r="AY9" t="s">
        <v>152</v>
      </c>
      <c r="AZ9" t="s">
        <v>153</v>
      </c>
      <c r="BA9" t="s">
        <v>154</v>
      </c>
      <c r="BB9" t="s">
        <v>155</v>
      </c>
      <c r="BC9" t="s">
        <v>156</v>
      </c>
      <c r="BD9" t="s">
        <v>157</v>
      </c>
      <c r="BE9" t="s">
        <v>158</v>
      </c>
      <c r="BF9" t="s">
        <v>159</v>
      </c>
      <c r="BG9" t="s">
        <v>160</v>
      </c>
      <c r="BH9" t="s">
        <v>161</v>
      </c>
      <c r="BI9" t="s">
        <v>162</v>
      </c>
      <c r="BJ9" t="s">
        <v>163</v>
      </c>
      <c r="BK9" t="s">
        <v>35</v>
      </c>
      <c r="BL9" t="s">
        <v>164</v>
      </c>
      <c r="BM9" t="s">
        <v>165</v>
      </c>
      <c r="BN9" t="s">
        <v>166</v>
      </c>
      <c r="BO9" t="s">
        <v>37</v>
      </c>
      <c r="BP9" t="s">
        <v>167</v>
      </c>
      <c r="BQ9" t="s">
        <v>168</v>
      </c>
      <c r="BR9" t="s">
        <v>169</v>
      </c>
      <c r="BS9" t="s">
        <v>66</v>
      </c>
    </row>
    <row r="10" spans="1:70" x14ac:dyDescent="0.25">
      <c r="A10" t="s">
        <v>170</v>
      </c>
      <c r="B10" t="s">
        <v>46</v>
      </c>
      <c r="C10" t="s">
        <v>171</v>
      </c>
      <c r="D10" t="s">
        <v>172</v>
      </c>
      <c r="E10" t="s">
        <v>47</v>
      </c>
      <c r="F10" t="s">
        <v>78</v>
      </c>
      <c r="G10" t="s">
        <v>173</v>
      </c>
      <c r="H10" s="2">
        <v>46223</v>
      </c>
      <c r="I10" s="2">
        <v>46239</v>
      </c>
      <c r="J10" t="s">
        <v>19</v>
      </c>
      <c r="K10" t="s">
        <v>174</v>
      </c>
      <c r="L10" t="s">
        <v>175</v>
      </c>
      <c r="M10" t="s">
        <v>173</v>
      </c>
      <c r="N10" s="2">
        <v>46231</v>
      </c>
      <c r="O10" t="s">
        <v>176</v>
      </c>
      <c r="S10" t="s">
        <v>177</v>
      </c>
      <c r="W10" t="s">
        <v>178</v>
      </c>
      <c r="X10" t="s">
        <v>179</v>
      </c>
      <c r="Y10" t="s">
        <v>48</v>
      </c>
      <c r="Z10" t="b">
        <v>0</v>
      </c>
      <c r="AA10" t="b">
        <v>1</v>
      </c>
      <c r="AF10" t="s">
        <v>180</v>
      </c>
      <c r="AG10" t="s">
        <v>44</v>
      </c>
      <c r="AS10" t="s">
        <v>181</v>
      </c>
      <c r="BB10" t="s">
        <v>182</v>
      </c>
      <c r="BK10" t="s">
        <v>49</v>
      </c>
      <c r="BL10" t="s">
        <v>173</v>
      </c>
      <c r="BM10" s="2">
        <v>46231</v>
      </c>
      <c r="BN10" s="1">
        <f>COUNTIF(Z10:BA10,TRUE)/6</f>
        <v>0.4</v>
      </c>
      <c r="BO10">
        <f>I10-TODAY()</f>
        <v>16</v>
      </c>
      <c r="BP10" t="s">
        <v>56</v>
      </c>
      <c r="BR10" t="b">
        <v>0</v>
      </c>
    </row>
    <row r="11" spans="26:70" x14ac:dyDescent="0.25">
      <c r="Z11" t="b">
        <v>0</v>
      </c>
      <c r="AA11" t="b">
        <v>0</v>
      </c>
      <c r="AK11" s="2">
        <f>IF(AE11="","",AE11+2)</f>
        <v>2</v>
      </c>
      <c r="AP11" s="2">
        <f>AK11-1</f>
        <v>1</v>
      </c>
      <c r="AU11" t="b">
        <v>0</v>
      </c>
      <c r="AV11" t="b">
        <v>0</v>
      </c>
      <c r="AZ11" t="b">
        <v>0</v>
      </c>
      <c r="BA11" t="b">
        <v>0</v>
      </c>
      <c r="BN11" s="1">
        <f>COUNTIF(Z11:BA11,TRUE)/6</f>
        <v>0</v>
      </c>
      <c r="BR11" t="b">
        <v>0</v>
      </c>
    </row>
    <row r="12" spans="26:70" x14ac:dyDescent="0.25">
      <c r="Z12" t="b">
        <v>0</v>
      </c>
      <c r="AA12" t="b">
        <v>0</v>
      </c>
      <c r="AK12" s="2">
        <f>IF(AE12="","",AE12+2)</f>
        <v>2</v>
      </c>
      <c r="AP12" s="2">
        <f>AK12-1</f>
        <v>1</v>
      </c>
      <c r="AU12" t="b">
        <v>0</v>
      </c>
      <c r="AV12" t="b">
        <v>0</v>
      </c>
      <c r="AZ12" t="b">
        <v>0</v>
      </c>
      <c r="BA12" t="b">
        <v>0</v>
      </c>
      <c r="BN12" s="1">
        <f>COUNTIF(Z12:BA12,TRUE)/6</f>
        <v>0</v>
      </c>
      <c r="BR12" t="b">
        <v>0</v>
      </c>
    </row>
    <row r="13" spans="26:70" x14ac:dyDescent="0.25">
      <c r="Z13" t="b">
        <v>0</v>
      </c>
      <c r="AA13" t="b">
        <v>0</v>
      </c>
      <c r="AK13" s="2">
        <f>IF(AE13="","",AE13+2)</f>
        <v>2</v>
      </c>
      <c r="AP13" s="2">
        <f>AK13-1</f>
        <v>1</v>
      </c>
      <c r="AU13" t="b">
        <v>0</v>
      </c>
      <c r="AV13" t="b">
        <v>0</v>
      </c>
      <c r="AZ13" t="b">
        <v>0</v>
      </c>
      <c r="BA13" t="b">
        <v>0</v>
      </c>
      <c r="BN13" s="1">
        <f>COUNTIF(Z13:BA13,TRUE)/6</f>
        <v>0</v>
      </c>
      <c r="BR13" t="b">
        <v>0</v>
      </c>
    </row>
    <row r="14" spans="26:70" x14ac:dyDescent="0.25">
      <c r="Z14" t="b">
        <v>0</v>
      </c>
      <c r="AA14" t="b">
        <v>0</v>
      </c>
      <c r="AK14" s="2">
        <f>IF(AE14="","",AE14+2)</f>
        <v>2</v>
      </c>
      <c r="AP14" s="2">
        <f>AK14-1</f>
        <v>1</v>
      </c>
      <c r="AU14" t="b">
        <v>0</v>
      </c>
      <c r="AV14" t="b">
        <v>0</v>
      </c>
      <c r="AZ14" t="b">
        <v>0</v>
      </c>
      <c r="BA14" t="b">
        <v>0</v>
      </c>
      <c r="BN14" s="1">
        <f>COUNTIF(Z14:BA14,TRUE)/6</f>
        <v>0</v>
      </c>
      <c r="BR14" t="b">
        <v>0</v>
      </c>
    </row>
    <row r="15" spans="26:70" x14ac:dyDescent="0.25">
      <c r="Z15" t="b">
        <v>0</v>
      </c>
      <c r="AA15" t="b">
        <v>0</v>
      </c>
      <c r="AK15" s="2">
        <f>IF(AE15="","",AE15+2)</f>
        <v>2</v>
      </c>
      <c r="AP15" s="2">
        <f>AK15-1</f>
        <v>1</v>
      </c>
      <c r="AU15" t="b">
        <v>0</v>
      </c>
      <c r="AV15" t="b">
        <v>0</v>
      </c>
      <c r="AZ15" t="b">
        <v>0</v>
      </c>
      <c r="BA15" t="b">
        <v>0</v>
      </c>
      <c r="BN15" s="1">
        <f>COUNTIF(Z15:BA15,TRUE)/6</f>
        <v>0</v>
      </c>
      <c r="BR15" t="b">
        <v>0</v>
      </c>
    </row>
    <row r="16" spans="26:70" x14ac:dyDescent="0.25">
      <c r="Z16" t="b">
        <v>0</v>
      </c>
      <c r="AA16" t="b">
        <v>0</v>
      </c>
      <c r="AK16" s="2">
        <f>IF(AE16="","",AE16+2)</f>
        <v>2</v>
      </c>
      <c r="AP16" s="2">
        <f>AK16-1</f>
        <v>1</v>
      </c>
      <c r="AU16" t="b">
        <v>0</v>
      </c>
      <c r="AV16" t="b">
        <v>0</v>
      </c>
      <c r="AZ16" t="b">
        <v>0</v>
      </c>
      <c r="BA16" t="b">
        <v>0</v>
      </c>
      <c r="BN16" s="1">
        <f>COUNTIF(Z16:BA16,TRUE)/6</f>
        <v>0</v>
      </c>
      <c r="BR16" t="b">
        <v>0</v>
      </c>
    </row>
    <row r="17" spans="26:70" x14ac:dyDescent="0.25">
      <c r="Z17" t="b">
        <v>0</v>
      </c>
      <c r="AA17" t="b">
        <v>0</v>
      </c>
      <c r="AK17" s="2">
        <f>IF(AE17="","",AE17+2)</f>
        <v>2</v>
      </c>
      <c r="AP17" s="2">
        <f>AK17-1</f>
        <v>1</v>
      </c>
      <c r="AU17" t="b">
        <v>0</v>
      </c>
      <c r="AV17" t="b">
        <v>0</v>
      </c>
      <c r="AZ17" t="b">
        <v>0</v>
      </c>
      <c r="BA17" t="b">
        <v>0</v>
      </c>
      <c r="BN17" s="1">
        <f>COUNTIF(Z17:BA17,TRUE)/6</f>
        <v>0</v>
      </c>
      <c r="BR17" t="b">
        <v>0</v>
      </c>
    </row>
    <row r="18" spans="26:70" x14ac:dyDescent="0.25">
      <c r="Z18" t="b">
        <v>0</v>
      </c>
      <c r="AA18" t="b">
        <v>0</v>
      </c>
      <c r="AK18" s="2">
        <f>IF(AE18="","",AE18+2)</f>
        <v>2</v>
      </c>
      <c r="AP18" s="2">
        <f>AK18-1</f>
        <v>1</v>
      </c>
      <c r="AU18" t="b">
        <v>0</v>
      </c>
      <c r="AV18" t="b">
        <v>0</v>
      </c>
      <c r="AZ18" t="b">
        <v>0</v>
      </c>
      <c r="BA18" t="b">
        <v>0</v>
      </c>
      <c r="BN18" s="1">
        <f>COUNTIF(Z18:BA18,TRUE)/6</f>
        <v>0</v>
      </c>
      <c r="BR18" t="b">
        <v>0</v>
      </c>
    </row>
    <row r="19" spans="26:70" x14ac:dyDescent="0.25">
      <c r="Z19" t="b">
        <v>0</v>
      </c>
      <c r="AA19" t="b">
        <v>0</v>
      </c>
      <c r="AK19" s="2">
        <f>IF(AE19="","",AE19+2)</f>
        <v>2</v>
      </c>
      <c r="AP19" s="2">
        <f>AK19-1</f>
        <v>1</v>
      </c>
      <c r="AU19" t="b">
        <v>0</v>
      </c>
      <c r="AV19" t="b">
        <v>0</v>
      </c>
      <c r="AZ19" t="b">
        <v>0</v>
      </c>
      <c r="BA19" t="b">
        <v>0</v>
      </c>
      <c r="BN19" s="1">
        <f>COUNTIF(Z19:BA19,TRUE)/6</f>
        <v>0</v>
      </c>
      <c r="BR19" t="b">
        <v>0</v>
      </c>
    </row>
    <row r="20" spans="26:70" x14ac:dyDescent="0.25">
      <c r="Z20" t="b">
        <v>0</v>
      </c>
      <c r="AA20" t="b">
        <v>0</v>
      </c>
      <c r="AK20" s="2">
        <f>IF(AE20="","",AE20+2)</f>
        <v>2</v>
      </c>
      <c r="AP20" s="2">
        <f>AK20-1</f>
        <v>1</v>
      </c>
      <c r="AU20" t="b">
        <v>0</v>
      </c>
      <c r="AV20" t="b">
        <v>0</v>
      </c>
      <c r="AZ20" t="b">
        <v>0</v>
      </c>
      <c r="BA20" t="b">
        <v>0</v>
      </c>
      <c r="BN20" s="1">
        <f>COUNTIF(Z20:BA20,TRUE)/6</f>
        <v>0</v>
      </c>
      <c r="BR20" t="b">
        <v>0</v>
      </c>
    </row>
    <row r="21" spans="26:70" x14ac:dyDescent="0.25">
      <c r="Z21" t="b">
        <v>0</v>
      </c>
      <c r="AA21" t="b">
        <v>0</v>
      </c>
      <c r="AK21" s="2">
        <f>IF(AE21="","",AE21+2)</f>
        <v>2</v>
      </c>
      <c r="AP21" s="2">
        <f>AK21-1</f>
        <v>1</v>
      </c>
      <c r="AU21" t="b">
        <v>0</v>
      </c>
      <c r="AV21" t="b">
        <v>0</v>
      </c>
      <c r="AZ21" t="b">
        <v>0</v>
      </c>
      <c r="BA21" t="b">
        <v>0</v>
      </c>
      <c r="BN21" s="1">
        <f>COUNTIF(Z21:BA21,TRUE)/6</f>
        <v>0</v>
      </c>
      <c r="BR21" t="b">
        <v>0</v>
      </c>
    </row>
    <row r="22" spans="26:70" x14ac:dyDescent="0.25">
      <c r="Z22" t="b">
        <v>0</v>
      </c>
      <c r="AA22" t="b">
        <v>0</v>
      </c>
      <c r="AK22" s="2">
        <f>IF(AE22="","",AE22+2)</f>
        <v>2</v>
      </c>
      <c r="AP22" s="2">
        <f>AK22-1</f>
        <v>1</v>
      </c>
      <c r="AU22" t="b">
        <v>0</v>
      </c>
      <c r="AV22" t="b">
        <v>0</v>
      </c>
      <c r="AZ22" t="b">
        <v>0</v>
      </c>
      <c r="BA22" t="b">
        <v>0</v>
      </c>
      <c r="BN22" s="1">
        <f>COUNTIF(Z22:BA22,TRUE)/6</f>
        <v>0</v>
      </c>
      <c r="BR22" t="b">
        <v>0</v>
      </c>
    </row>
    <row r="23" spans="26:70" x14ac:dyDescent="0.25">
      <c r="Z23" t="b">
        <v>0</v>
      </c>
      <c r="AA23" t="b">
        <v>0</v>
      </c>
      <c r="AK23" s="2">
        <f>IF(AE23="","",AE23+2)</f>
        <v>2</v>
      </c>
      <c r="AP23" s="2">
        <f>AK23-1</f>
        <v>1</v>
      </c>
      <c r="AU23" t="b">
        <v>0</v>
      </c>
      <c r="AV23" t="b">
        <v>0</v>
      </c>
      <c r="AZ23" t="b">
        <v>0</v>
      </c>
      <c r="BA23" t="b">
        <v>0</v>
      </c>
      <c r="BN23" s="1">
        <f>COUNTIF(Z23:BA23,TRUE)/6</f>
        <v>0</v>
      </c>
      <c r="BR23" t="b">
        <v>0</v>
      </c>
    </row>
    <row r="24" spans="26:70" x14ac:dyDescent="0.25">
      <c r="Z24" t="b">
        <v>0</v>
      </c>
      <c r="AA24" t="b">
        <v>0</v>
      </c>
      <c r="AK24" s="2">
        <f>IF(AE24="","",AE24+2)</f>
        <v>2</v>
      </c>
      <c r="AP24" s="2">
        <f>AK24-1</f>
        <v>1</v>
      </c>
      <c r="AU24" t="b">
        <v>0</v>
      </c>
      <c r="AV24" t="b">
        <v>0</v>
      </c>
      <c r="AZ24" t="b">
        <v>0</v>
      </c>
      <c r="BA24" t="b">
        <v>0</v>
      </c>
      <c r="BN24" s="1">
        <f>COUNTIF(Z24:BA24,TRUE)/6</f>
        <v>0</v>
      </c>
      <c r="BR24" t="b">
        <v>0</v>
      </c>
    </row>
    <row r="25" spans="26:70" x14ac:dyDescent="0.25">
      <c r="Z25" t="b">
        <v>0</v>
      </c>
      <c r="AA25" t="b">
        <v>0</v>
      </c>
      <c r="AK25" s="2">
        <f>IF(AE25="","",AE25+2)</f>
        <v>2</v>
      </c>
      <c r="AP25" s="2">
        <f>AK25-1</f>
        <v>1</v>
      </c>
      <c r="AU25" t="b">
        <v>0</v>
      </c>
      <c r="AV25" t="b">
        <v>0</v>
      </c>
      <c r="AZ25" t="b">
        <v>0</v>
      </c>
      <c r="BA25" t="b">
        <v>0</v>
      </c>
      <c r="BN25" s="1">
        <f>COUNTIF(Z25:BA25,TRUE)/6</f>
        <v>0</v>
      </c>
      <c r="BR25" t="b">
        <v>0</v>
      </c>
    </row>
    <row r="26" spans="26:70" x14ac:dyDescent="0.25">
      <c r="Z26" t="b">
        <v>0</v>
      </c>
      <c r="AA26" t="b">
        <v>0</v>
      </c>
      <c r="AK26" s="2">
        <f>IF(AE26="","",AE26+2)</f>
        <v>2</v>
      </c>
      <c r="AP26" s="2">
        <f>AK26-1</f>
        <v>1</v>
      </c>
      <c r="AU26" t="b">
        <v>0</v>
      </c>
      <c r="AV26" t="b">
        <v>0</v>
      </c>
      <c r="AZ26" t="b">
        <v>0</v>
      </c>
      <c r="BA26" t="b">
        <v>0</v>
      </c>
      <c r="BN26" s="1">
        <f>COUNTIF(Z26:BA26,TRUE)/6</f>
        <v>0</v>
      </c>
      <c r="BR26" t="b">
        <v>0</v>
      </c>
    </row>
    <row r="27" spans="26:70" x14ac:dyDescent="0.25">
      <c r="Z27" t="b">
        <v>0</v>
      </c>
      <c r="AA27" t="b">
        <v>0</v>
      </c>
      <c r="AK27" s="2">
        <f>IF(AE27="","",AE27+2)</f>
        <v>2</v>
      </c>
      <c r="AP27" s="2">
        <f>AK27-1</f>
        <v>1</v>
      </c>
      <c r="AU27" t="b">
        <v>0</v>
      </c>
      <c r="AV27" t="b">
        <v>0</v>
      </c>
      <c r="AZ27" t="b">
        <v>0</v>
      </c>
      <c r="BA27" t="b">
        <v>0</v>
      </c>
      <c r="BN27" s="1">
        <f>COUNTIF(Z27:BA27,TRUE)/6</f>
        <v>0</v>
      </c>
      <c r="BR27" t="b">
        <v>0</v>
      </c>
    </row>
    <row r="28" spans="26:70" x14ac:dyDescent="0.25">
      <c r="Z28" t="b">
        <v>0</v>
      </c>
      <c r="AA28" t="b">
        <v>0</v>
      </c>
      <c r="AK28" s="2">
        <f>IF(AE28="","",AE28+2)</f>
        <v>2</v>
      </c>
      <c r="AP28" s="2">
        <f>AK28-1</f>
        <v>1</v>
      </c>
      <c r="AU28" t="b">
        <v>0</v>
      </c>
      <c r="AV28" t="b">
        <v>0</v>
      </c>
      <c r="AZ28" t="b">
        <v>0</v>
      </c>
      <c r="BA28" t="b">
        <v>0</v>
      </c>
      <c r="BN28" s="1">
        <f>COUNTIF(Z28:BA28,TRUE)/6</f>
        <v>0</v>
      </c>
      <c r="BR28" t="b">
        <v>0</v>
      </c>
    </row>
    <row r="29" spans="26:70" x14ac:dyDescent="0.25">
      <c r="Z29" t="b">
        <v>0</v>
      </c>
      <c r="AA29" t="b">
        <v>0</v>
      </c>
      <c r="AK29" s="2">
        <f>IF(AE29="","",AE29+2)</f>
        <v>2</v>
      </c>
      <c r="AP29" s="2">
        <f>AK29-1</f>
        <v>1</v>
      </c>
      <c r="AU29" t="b">
        <v>0</v>
      </c>
      <c r="AV29" t="b">
        <v>0</v>
      </c>
      <c r="AZ29" t="b">
        <v>0</v>
      </c>
      <c r="BA29" t="b">
        <v>0</v>
      </c>
      <c r="BN29" s="1">
        <f>COUNTIF(Z29:BA29,TRUE)/6</f>
        <v>0</v>
      </c>
      <c r="BR29" t="b">
        <v>0</v>
      </c>
    </row>
    <row r="30" spans="26:70" x14ac:dyDescent="0.25">
      <c r="Z30" t="b">
        <v>0</v>
      </c>
      <c r="AA30" t="b">
        <v>0</v>
      </c>
      <c r="AK30" s="2">
        <f>IF(AE30="","",AE30+2)</f>
        <v>2</v>
      </c>
      <c r="AP30" s="2">
        <f>AK30-1</f>
        <v>1</v>
      </c>
      <c r="AU30" t="b">
        <v>0</v>
      </c>
      <c r="AV30" t="b">
        <v>0</v>
      </c>
      <c r="AZ30" t="b">
        <v>0</v>
      </c>
      <c r="BA30" t="b">
        <v>0</v>
      </c>
      <c r="BN30" s="1">
        <f>COUNTIF(Z30:BA30,TRUE)/6</f>
        <v>0</v>
      </c>
      <c r="BR30" t="b">
        <v>0</v>
      </c>
    </row>
    <row r="31" spans="26:70" x14ac:dyDescent="0.25">
      <c r="Z31" t="b">
        <v>0</v>
      </c>
      <c r="AA31" t="b">
        <v>0</v>
      </c>
      <c r="AK31" s="2">
        <f>IF(AE31="","",AE31+2)</f>
        <v>2</v>
      </c>
      <c r="AP31" s="2">
        <f>AK31-1</f>
        <v>1</v>
      </c>
      <c r="AU31" t="b">
        <v>0</v>
      </c>
      <c r="AV31" t="b">
        <v>0</v>
      </c>
      <c r="AZ31" t="b">
        <v>0</v>
      </c>
      <c r="BA31" t="b">
        <v>0</v>
      </c>
      <c r="BN31" s="1">
        <f>COUNTIF(Z31:BA31,TRUE)/6</f>
        <v>0</v>
      </c>
      <c r="BR31" t="b">
        <v>0</v>
      </c>
    </row>
    <row r="32" spans="26:70" x14ac:dyDescent="0.25">
      <c r="Z32" t="b">
        <v>0</v>
      </c>
      <c r="AA32" t="b">
        <v>0</v>
      </c>
      <c r="AK32" s="2">
        <f>IF(AE32="","",AE32+2)</f>
        <v>2</v>
      </c>
      <c r="AP32" s="2">
        <f>AK32-1</f>
        <v>1</v>
      </c>
      <c r="AU32" t="b">
        <v>0</v>
      </c>
      <c r="AV32" t="b">
        <v>0</v>
      </c>
      <c r="AZ32" t="b">
        <v>0</v>
      </c>
      <c r="BA32" t="b">
        <v>0</v>
      </c>
      <c r="BN32" s="1">
        <f>COUNTIF(Z32:BA32,TRUE)/6</f>
        <v>0</v>
      </c>
      <c r="BR32" t="b">
        <v>0</v>
      </c>
    </row>
    <row r="33" spans="26:70" x14ac:dyDescent="0.25">
      <c r="Z33" t="b">
        <v>0</v>
      </c>
      <c r="AA33" t="b">
        <v>0</v>
      </c>
      <c r="AK33" s="2">
        <f>IF(AE33="","",AE33+2)</f>
        <v>2</v>
      </c>
      <c r="AP33" s="2">
        <f>AK33-1</f>
        <v>1</v>
      </c>
      <c r="AU33" t="b">
        <v>0</v>
      </c>
      <c r="AV33" t="b">
        <v>0</v>
      </c>
      <c r="AZ33" t="b">
        <v>0</v>
      </c>
      <c r="BA33" t="b">
        <v>0</v>
      </c>
      <c r="BN33" s="1">
        <f>COUNTIF(Z33:BA33,TRUE)/6</f>
        <v>0</v>
      </c>
      <c r="BR33" t="b">
        <v>0</v>
      </c>
    </row>
    <row r="34" spans="26:70" x14ac:dyDescent="0.25">
      <c r="Z34" t="b">
        <v>0</v>
      </c>
      <c r="AA34" t="b">
        <v>0</v>
      </c>
      <c r="AK34" s="2">
        <f>IF(AE34="","",AE34+2)</f>
        <v>2</v>
      </c>
      <c r="AP34" s="2">
        <f>AK34-1</f>
        <v>1</v>
      </c>
      <c r="AU34" t="b">
        <v>0</v>
      </c>
      <c r="AV34" t="b">
        <v>0</v>
      </c>
      <c r="AZ34" t="b">
        <v>0</v>
      </c>
      <c r="BA34" t="b">
        <v>0</v>
      </c>
      <c r="BN34" s="1">
        <f>COUNTIF(Z34:BA34,TRUE)/6</f>
        <v>0</v>
      </c>
      <c r="BR34" t="b">
        <v>0</v>
      </c>
    </row>
    <row r="35" spans="26:70" x14ac:dyDescent="0.25">
      <c r="Z35" t="b">
        <v>0</v>
      </c>
      <c r="AA35" t="b">
        <v>0</v>
      </c>
      <c r="AK35" s="2">
        <f>IF(AE35="","",AE35+2)</f>
        <v>2</v>
      </c>
      <c r="AP35" s="2">
        <f>AK35-1</f>
        <v>1</v>
      </c>
      <c r="AU35" t="b">
        <v>0</v>
      </c>
      <c r="AV35" t="b">
        <v>0</v>
      </c>
      <c r="AZ35" t="b">
        <v>0</v>
      </c>
      <c r="BA35" t="b">
        <v>0</v>
      </c>
      <c r="BN35" s="1">
        <f>COUNTIF(Z35:BA35,TRUE)/6</f>
        <v>0</v>
      </c>
      <c r="BR35" t="b">
        <v>0</v>
      </c>
    </row>
  </sheetData>
  <mergeCells count="11">
    <mergeCell ref="A2:BS2"/>
    <mergeCell ref="A3:BS3"/>
    <mergeCell ref="A6:BS6"/>
    <mergeCell ref="A8:J8"/>
    <mergeCell ref="K8:T8"/>
    <mergeCell ref="U8:AC8"/>
    <mergeCell ref="AD8:AJ8"/>
    <mergeCell ref="AK8:AR8"/>
    <mergeCell ref="AS8:BA8"/>
    <mergeCell ref="BB8:BJ8"/>
    <mergeCell ref="BK8:BS8"/>
  </mergeCells>
  <hyperlinks>
    <hyperlink ref="AF10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FormatPr defaultRowHeight="15" outlineLevelRow="0" outlineLevelCol="0" x14ac:dyDescent="55"/>
  <sheetData>
    <row r="1" spans="1:5" x14ac:dyDescent="0.25">
      <c r="A1" t="s">
        <v>57</v>
      </c>
      <c r="B1" t="s">
        <v>24</v>
      </c>
      <c r="C1" t="s">
        <v>26</v>
      </c>
      <c r="D1" t="s">
        <v>28</v>
      </c>
      <c r="E1" t="s">
        <v>58</v>
      </c>
    </row>
    <row r="2" spans="1:30" x14ac:dyDescent="0.25">
      <c r="A2" t="s">
        <v>59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x14ac:dyDescent="0.25">
      <c r="A3" t="s">
        <v>60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4" x14ac:dyDescent="0.25">
      <c r="A4" t="s">
        <v>183</v>
      </c>
      <c r="B4" t="s">
        <v>184</v>
      </c>
      <c r="C4" t="s">
        <v>185</v>
      </c>
      <c r="D4" t="s">
        <v>14</v>
      </c>
    </row>
    <row r="5" spans="1:4" x14ac:dyDescent="0.25">
      <c r="A5">
        <f>COUNTIFS(L18:L20,"미답변")</f>
        <v>1</v>
      </c>
      <c r="B5">
        <f>COUNTIFS(C25:C27,"&lt;&gt;")</f>
        <v>3</v>
      </c>
      <c r="C5">
        <f>AVERAGE(S25:S27)</f>
        <v>0.87</v>
      </c>
      <c r="D5">
        <f>COUNTIFS(#REF!,"지연")</f>
      </c>
    </row>
    <row r="6" spans="1:30" x14ac:dyDescent="0.25">
      <c r="A6" t="s">
        <v>61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8" spans="1:30" x14ac:dyDescent="0.25">
      <c r="A8" t="s">
        <v>186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spans="1:1" x14ac:dyDescent="0.25">
      <c r="A9" t="s">
        <v>187</v>
      </c>
    </row>
    <row r="10" spans="1:1" x14ac:dyDescent="0.25">
      <c r="A10" t="s">
        <v>188</v>
      </c>
    </row>
    <row r="11" spans="1:1" x14ac:dyDescent="0.25">
      <c r="A11" t="s">
        <v>189</v>
      </c>
    </row>
    <row r="12" spans="1:1" x14ac:dyDescent="0.25">
      <c r="A12" t="s">
        <v>190</v>
      </c>
    </row>
    <row r="13" spans="1:1" x14ac:dyDescent="0.25">
      <c r="A13" t="s">
        <v>191</v>
      </c>
    </row>
    <row r="16" spans="1:30" x14ac:dyDescent="0.25">
      <c r="A16" t="s">
        <v>192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20" x14ac:dyDescent="0.25">
      <c r="A17" t="s">
        <v>193</v>
      </c>
      <c r="B17" t="s">
        <v>194</v>
      </c>
      <c r="C17" t="s">
        <v>195</v>
      </c>
      <c r="D17" t="s">
        <v>196</v>
      </c>
      <c r="E17" t="s">
        <v>197</v>
      </c>
      <c r="F17" t="s">
        <v>198</v>
      </c>
      <c r="G17" t="s">
        <v>199</v>
      </c>
      <c r="H17" t="s">
        <v>200</v>
      </c>
      <c r="I17" t="s">
        <v>33</v>
      </c>
      <c r="J17" t="s">
        <v>201</v>
      </c>
      <c r="K17" t="s">
        <v>202</v>
      </c>
      <c r="L17" t="s">
        <v>203</v>
      </c>
      <c r="M17" t="s">
        <v>204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66</v>
      </c>
    </row>
    <row r="18" spans="1:20" x14ac:dyDescent="0.25">
      <c r="A18" t="s">
        <v>211</v>
      </c>
      <c r="B18" s="2">
        <v>46224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  <c r="H18" t="s">
        <v>172</v>
      </c>
      <c r="I18" t="s">
        <v>53</v>
      </c>
      <c r="J18" t="s">
        <v>175</v>
      </c>
      <c r="K18" s="2">
        <v>46225</v>
      </c>
      <c r="L18" t="s">
        <v>217</v>
      </c>
      <c r="M18" s="2">
        <v>46225</v>
      </c>
      <c r="N18" t="s">
        <v>218</v>
      </c>
      <c r="O18" t="s">
        <v>219</v>
      </c>
      <c r="P18" t="s">
        <v>53</v>
      </c>
      <c r="R18" t="s">
        <v>20</v>
      </c>
      <c r="S18" t="b">
        <v>1</v>
      </c>
      <c r="T18" t="s">
        <v>220</v>
      </c>
    </row>
    <row r="19" spans="1:20" x14ac:dyDescent="0.25">
      <c r="A19" t="s">
        <v>221</v>
      </c>
      <c r="B19" s="2">
        <v>46225</v>
      </c>
      <c r="C19" t="s">
        <v>222</v>
      </c>
      <c r="D19" t="s">
        <v>223</v>
      </c>
      <c r="E19" t="s">
        <v>224</v>
      </c>
      <c r="F19" t="s">
        <v>225</v>
      </c>
      <c r="G19" t="s">
        <v>226</v>
      </c>
      <c r="H19" t="s">
        <v>227</v>
      </c>
      <c r="I19" t="s">
        <v>228</v>
      </c>
      <c r="J19" t="s">
        <v>175</v>
      </c>
      <c r="K19" s="2">
        <v>46226</v>
      </c>
      <c r="L19" t="s">
        <v>229</v>
      </c>
      <c r="N19" t="s">
        <v>220</v>
      </c>
      <c r="O19" t="s">
        <v>230</v>
      </c>
      <c r="P19" t="s">
        <v>228</v>
      </c>
      <c r="Q19" s="2">
        <v>46227</v>
      </c>
      <c r="R19" t="s">
        <v>19</v>
      </c>
      <c r="S19" t="b">
        <v>0</v>
      </c>
      <c r="T19" t="s">
        <v>231</v>
      </c>
    </row>
    <row r="20" spans="1:20" x14ac:dyDescent="0.25">
      <c r="A20" t="s">
        <v>232</v>
      </c>
      <c r="B20" s="2">
        <v>46225</v>
      </c>
      <c r="C20" t="s">
        <v>233</v>
      </c>
      <c r="D20" t="s">
        <v>234</v>
      </c>
      <c r="E20" t="s">
        <v>235</v>
      </c>
      <c r="F20" t="s">
        <v>236</v>
      </c>
      <c r="G20" t="s">
        <v>237</v>
      </c>
      <c r="H20" t="s">
        <v>238</v>
      </c>
      <c r="I20" t="s">
        <v>53</v>
      </c>
      <c r="J20" t="s">
        <v>239</v>
      </c>
      <c r="L20" t="s">
        <v>240</v>
      </c>
      <c r="N20" t="s">
        <v>220</v>
      </c>
      <c r="O20" t="s">
        <v>220</v>
      </c>
      <c r="P20" t="s">
        <v>220</v>
      </c>
      <c r="R20" t="s">
        <v>240</v>
      </c>
      <c r="S20" t="b">
        <v>0</v>
      </c>
      <c r="T20" t="s">
        <v>220</v>
      </c>
    </row>
    <row r="23" spans="1:30" x14ac:dyDescent="0.25">
      <c r="A23" t="s">
        <v>241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0" x14ac:dyDescent="0.25">
      <c r="A24" t="s">
        <v>89</v>
      </c>
      <c r="B24" t="s">
        <v>242</v>
      </c>
      <c r="C24" t="s">
        <v>243</v>
      </c>
      <c r="D24" t="s">
        <v>244</v>
      </c>
      <c r="E24" t="s">
        <v>245</v>
      </c>
      <c r="F24" t="s">
        <v>246</v>
      </c>
      <c r="G24" t="s">
        <v>247</v>
      </c>
      <c r="H24" t="s">
        <v>248</v>
      </c>
      <c r="I24" t="s">
        <v>249</v>
      </c>
      <c r="J24" t="s">
        <v>250</v>
      </c>
      <c r="K24" t="s">
        <v>251</v>
      </c>
      <c r="L24" t="s">
        <v>252</v>
      </c>
      <c r="M24" t="s">
        <v>253</v>
      </c>
      <c r="N24" t="s">
        <v>254</v>
      </c>
      <c r="O24" t="s">
        <v>255</v>
      </c>
      <c r="P24" t="s">
        <v>256</v>
      </c>
      <c r="Q24" t="s">
        <v>257</v>
      </c>
      <c r="R24" t="s">
        <v>258</v>
      </c>
      <c r="S24" t="s">
        <v>259</v>
      </c>
      <c r="T24" t="s">
        <v>260</v>
      </c>
      <c r="U24" t="s">
        <v>261</v>
      </c>
      <c r="V24" t="s">
        <v>262</v>
      </c>
      <c r="W24" t="s">
        <v>263</v>
      </c>
      <c r="X24" t="s">
        <v>264</v>
      </c>
      <c r="Y24" t="s">
        <v>265</v>
      </c>
      <c r="Z24" t="s">
        <v>266</v>
      </c>
      <c r="AA24" t="s">
        <v>267</v>
      </c>
      <c r="AB24" t="s">
        <v>268</v>
      </c>
      <c r="AC24" t="s">
        <v>269</v>
      </c>
      <c r="AD24" t="s">
        <v>66</v>
      </c>
    </row>
    <row r="25" spans="1:30" x14ac:dyDescent="0.25">
      <c r="A25" t="s">
        <v>90</v>
      </c>
      <c r="B25" s="2">
        <v>46224</v>
      </c>
      <c r="C25" t="s">
        <v>52</v>
      </c>
      <c r="D25" t="s">
        <v>53</v>
      </c>
      <c r="E25" t="s">
        <v>53</v>
      </c>
      <c r="F25" t="s">
        <v>270</v>
      </c>
      <c r="G25" t="s">
        <v>271</v>
      </c>
      <c r="H25" t="s">
        <v>272</v>
      </c>
      <c r="I25" t="s">
        <v>273</v>
      </c>
      <c r="J25" t="s">
        <v>274</v>
      </c>
      <c r="K25" t="s">
        <v>275</v>
      </c>
      <c r="L25" s="2">
        <v>46224</v>
      </c>
      <c r="M25" s="2">
        <v>46230</v>
      </c>
      <c r="N25" t="s">
        <v>276</v>
      </c>
      <c r="O25" t="s">
        <v>20</v>
      </c>
      <c r="P25" t="s">
        <v>277</v>
      </c>
      <c r="Q25">
        <v>100</v>
      </c>
      <c r="R25">
        <v>120</v>
      </c>
      <c r="S25" s="1">
        <v>1.2</v>
      </c>
      <c r="T25" t="s">
        <v>278</v>
      </c>
      <c r="U25" t="s">
        <v>279</v>
      </c>
      <c r="V25" t="s">
        <v>280</v>
      </c>
      <c r="W25" t="s">
        <v>281</v>
      </c>
      <c r="X25" t="s">
        <v>282</v>
      </c>
      <c r="Y25" t="s">
        <v>283</v>
      </c>
      <c r="Z25" t="s">
        <v>284</v>
      </c>
      <c r="AA25" t="s">
        <v>285</v>
      </c>
      <c r="AB25" t="s">
        <v>220</v>
      </c>
      <c r="AC25" t="b">
        <v>1</v>
      </c>
      <c r="AD25" t="s">
        <v>220</v>
      </c>
    </row>
    <row r="26" spans="1:30" x14ac:dyDescent="0.25">
      <c r="A26" t="s">
        <v>90</v>
      </c>
      <c r="B26" s="2">
        <v>46224</v>
      </c>
      <c r="C26" t="s">
        <v>286</v>
      </c>
      <c r="D26" t="s">
        <v>228</v>
      </c>
      <c r="E26" t="s">
        <v>228</v>
      </c>
      <c r="F26" t="s">
        <v>287</v>
      </c>
      <c r="G26" t="s">
        <v>288</v>
      </c>
      <c r="H26" t="s">
        <v>289</v>
      </c>
      <c r="I26" t="s">
        <v>290</v>
      </c>
      <c r="J26" t="s">
        <v>274</v>
      </c>
      <c r="K26" t="s">
        <v>44</v>
      </c>
      <c r="L26" s="2">
        <v>46225</v>
      </c>
      <c r="M26" s="2">
        <v>46231</v>
      </c>
      <c r="N26" t="s">
        <v>291</v>
      </c>
      <c r="O26" t="s">
        <v>19</v>
      </c>
      <c r="P26" t="s">
        <v>292</v>
      </c>
      <c r="Q26">
        <v>50</v>
      </c>
      <c r="R26">
        <v>41</v>
      </c>
      <c r="S26" s="1">
        <v>0.82</v>
      </c>
      <c r="T26" t="s">
        <v>293</v>
      </c>
      <c r="U26" t="s">
        <v>294</v>
      </c>
      <c r="V26" t="s">
        <v>295</v>
      </c>
      <c r="W26" t="s">
        <v>296</v>
      </c>
      <c r="X26" t="s">
        <v>282</v>
      </c>
      <c r="Y26" t="s">
        <v>297</v>
      </c>
      <c r="Z26" t="s">
        <v>284</v>
      </c>
      <c r="AA26" t="s">
        <v>298</v>
      </c>
      <c r="AB26" t="s">
        <v>220</v>
      </c>
      <c r="AC26" t="b">
        <v>0</v>
      </c>
      <c r="AD26" t="s">
        <v>220</v>
      </c>
    </row>
    <row r="27" spans="1:30" x14ac:dyDescent="0.25">
      <c r="A27" t="s">
        <v>90</v>
      </c>
      <c r="B27" s="2">
        <v>46224</v>
      </c>
      <c r="C27" t="s">
        <v>299</v>
      </c>
      <c r="D27" t="s">
        <v>53</v>
      </c>
      <c r="E27" t="s">
        <v>228</v>
      </c>
      <c r="F27" t="s">
        <v>300</v>
      </c>
      <c r="G27" t="s">
        <v>271</v>
      </c>
      <c r="H27" t="s">
        <v>301</v>
      </c>
      <c r="I27" t="s">
        <v>302</v>
      </c>
      <c r="J27" t="s">
        <v>303</v>
      </c>
      <c r="K27" t="s">
        <v>50</v>
      </c>
      <c r="L27" s="2">
        <v>46227</v>
      </c>
      <c r="M27" s="2">
        <v>46233</v>
      </c>
      <c r="N27" t="s">
        <v>304</v>
      </c>
      <c r="O27" t="s">
        <v>19</v>
      </c>
      <c r="P27" t="s">
        <v>305</v>
      </c>
      <c r="Q27">
        <v>40</v>
      </c>
      <c r="R27">
        <v>12</v>
      </c>
      <c r="S27" s="1">
        <v>0.95</v>
      </c>
      <c r="T27" t="s">
        <v>306</v>
      </c>
      <c r="U27" t="s">
        <v>307</v>
      </c>
      <c r="V27" t="s">
        <v>308</v>
      </c>
      <c r="W27" t="s">
        <v>309</v>
      </c>
      <c r="X27" t="s">
        <v>240</v>
      </c>
      <c r="Y27" t="s">
        <v>310</v>
      </c>
      <c r="Z27" t="s">
        <v>284</v>
      </c>
      <c r="AA27" t="s">
        <v>298</v>
      </c>
      <c r="AB27" t="s">
        <v>220</v>
      </c>
      <c r="AC27" t="b">
        <v>0</v>
      </c>
      <c r="AD27" t="s">
        <v>311</v>
      </c>
    </row>
  </sheetData>
  <mergeCells count="6">
    <mergeCell ref="A2:AD2"/>
    <mergeCell ref="A3:AD3"/>
    <mergeCell ref="A6:AD6"/>
    <mergeCell ref="A8:AD8"/>
    <mergeCell ref="A16:AD16"/>
    <mergeCell ref="A23:AD23"/>
  </mergeCells>
  <hyperlinks>
    <hyperlink ref="Z25" r:id="rId1"/>
    <hyperlink ref="Z26" r:id="rId2"/>
    <hyperlink ref="Z2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9"/>
  <sheetFormatPr defaultRowHeight="15" outlineLevelRow="0" outlineLevelCol="0" x14ac:dyDescent="55"/>
  <sheetData>
    <row r="1" spans="1:6" x14ac:dyDescent="0.25">
      <c r="A1" t="s">
        <v>57</v>
      </c>
      <c r="B1"/>
      <c r="C1" t="s">
        <v>24</v>
      </c>
      <c r="D1"/>
      <c r="E1" t="s">
        <v>26</v>
      </c>
      <c r="F1"/>
    </row>
    <row r="2" spans="1:28" x14ac:dyDescent="0.25">
      <c r="A2" t="s">
        <v>312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x14ac:dyDescent="0.25">
      <c r="A3" t="s">
        <v>313</v>
      </c>
      <c r="B3" t="s">
        <v>314</v>
      </c>
      <c r="C3" t="s">
        <v>315</v>
      </c>
      <c r="D3" t="s">
        <v>316</v>
      </c>
      <c r="E3" t="s">
        <v>317</v>
      </c>
      <c r="F3" t="s">
        <v>318</v>
      </c>
      <c r="G3" t="s">
        <v>319</v>
      </c>
      <c r="H3" t="s">
        <v>320</v>
      </c>
      <c r="I3" t="s">
        <v>321</v>
      </c>
      <c r="J3" t="s">
        <v>322</v>
      </c>
      <c r="K3" t="s">
        <v>323</v>
      </c>
      <c r="L3" t="s">
        <v>324</v>
      </c>
      <c r="M3" t="s">
        <v>325</v>
      </c>
      <c r="N3" t="s">
        <v>326</v>
      </c>
      <c r="O3" t="s">
        <v>327</v>
      </c>
      <c r="P3" t="s">
        <v>328</v>
      </c>
      <c r="Q3" t="s">
        <v>329</v>
      </c>
      <c r="R3" t="s">
        <v>330</v>
      </c>
      <c r="S3" t="s">
        <v>331</v>
      </c>
      <c r="T3" t="s">
        <v>332</v>
      </c>
      <c r="U3" t="s">
        <v>333</v>
      </c>
      <c r="V3" t="s">
        <v>334</v>
      </c>
      <c r="W3" t="s">
        <v>335</v>
      </c>
      <c r="X3" t="s">
        <v>336</v>
      </c>
      <c r="Y3" t="s">
        <v>337</v>
      </c>
      <c r="Z3" t="s">
        <v>338</v>
      </c>
      <c r="AA3" t="s">
        <v>339</v>
      </c>
      <c r="AB3" t="s">
        <v>340</v>
      </c>
    </row>
    <row r="4" spans="1:28" x14ac:dyDescent="0.25">
      <c r="A4" t="s">
        <v>42</v>
      </c>
      <c r="B4" t="s">
        <v>47</v>
      </c>
      <c r="C4" t="s">
        <v>53</v>
      </c>
      <c r="D4" t="s">
        <v>341</v>
      </c>
      <c r="E4" t="s">
        <v>342</v>
      </c>
      <c r="F4" t="s">
        <v>343</v>
      </c>
      <c r="G4" t="s">
        <v>56</v>
      </c>
      <c r="H4" t="s">
        <v>344</v>
      </c>
      <c r="I4" t="s">
        <v>50</v>
      </c>
      <c r="J4" t="s">
        <v>345</v>
      </c>
      <c r="K4" t="s">
        <v>272</v>
      </c>
      <c r="L4" t="s">
        <v>346</v>
      </c>
      <c r="M4" t="s">
        <v>347</v>
      </c>
      <c r="N4" t="s">
        <v>171</v>
      </c>
      <c r="O4" t="s">
        <v>175</v>
      </c>
      <c r="P4" t="s">
        <v>348</v>
      </c>
      <c r="Q4" t="s">
        <v>349</v>
      </c>
      <c r="R4" t="s">
        <v>350</v>
      </c>
      <c r="S4" t="s">
        <v>181</v>
      </c>
      <c r="T4" t="s">
        <v>351</v>
      </c>
      <c r="U4" t="s">
        <v>213</v>
      </c>
      <c r="V4" t="s">
        <v>215</v>
      </c>
      <c r="W4" t="s">
        <v>229</v>
      </c>
      <c r="X4" t="s">
        <v>272</v>
      </c>
      <c r="Y4" t="s">
        <v>303</v>
      </c>
      <c r="Z4" t="s">
        <v>352</v>
      </c>
      <c r="AA4" t="s">
        <v>353</v>
      </c>
      <c r="AB4">
        <v>1</v>
      </c>
    </row>
    <row r="5" spans="1:28" x14ac:dyDescent="0.25">
      <c r="A5" t="s">
        <v>78</v>
      </c>
      <c r="B5" t="s">
        <v>173</v>
      </c>
      <c r="C5" t="s">
        <v>228</v>
      </c>
      <c r="D5" t="s">
        <v>354</v>
      </c>
      <c r="E5" t="s">
        <v>355</v>
      </c>
      <c r="F5" t="s">
        <v>172</v>
      </c>
      <c r="G5" t="s">
        <v>51</v>
      </c>
      <c r="H5" t="s">
        <v>48</v>
      </c>
      <c r="I5" t="s">
        <v>44</v>
      </c>
      <c r="J5" t="s">
        <v>356</v>
      </c>
      <c r="K5" t="s">
        <v>289</v>
      </c>
      <c r="L5" t="s">
        <v>357</v>
      </c>
      <c r="M5" t="s">
        <v>358</v>
      </c>
      <c r="N5" t="s">
        <v>359</v>
      </c>
      <c r="O5" t="s">
        <v>239</v>
      </c>
      <c r="P5" t="s">
        <v>176</v>
      </c>
      <c r="Q5" t="s">
        <v>179</v>
      </c>
      <c r="R5" t="s">
        <v>48</v>
      </c>
      <c r="S5" t="s">
        <v>360</v>
      </c>
      <c r="T5" t="s">
        <v>182</v>
      </c>
      <c r="U5" t="s">
        <v>223</v>
      </c>
      <c r="V5" t="s">
        <v>225</v>
      </c>
      <c r="W5" t="s">
        <v>361</v>
      </c>
      <c r="X5" t="s">
        <v>289</v>
      </c>
      <c r="Y5" t="s">
        <v>19</v>
      </c>
      <c r="Z5" t="s">
        <v>292</v>
      </c>
      <c r="AA5" t="s">
        <v>362</v>
      </c>
      <c r="AB5">
        <v>1</v>
      </c>
    </row>
    <row r="6" spans="1:28" x14ac:dyDescent="0.25">
      <c r="A6" t="s">
        <v>81</v>
      </c>
      <c r="B6" t="s">
        <v>78</v>
      </c>
      <c r="E6" t="s">
        <v>363</v>
      </c>
      <c r="F6" t="s">
        <v>227</v>
      </c>
      <c r="G6" t="s">
        <v>14</v>
      </c>
      <c r="H6" t="s">
        <v>19</v>
      </c>
      <c r="I6" t="s">
        <v>11</v>
      </c>
      <c r="J6" t="s">
        <v>364</v>
      </c>
      <c r="K6" t="s">
        <v>365</v>
      </c>
      <c r="L6" t="s">
        <v>366</v>
      </c>
      <c r="M6" t="s">
        <v>367</v>
      </c>
      <c r="N6" t="s">
        <v>368</v>
      </c>
      <c r="O6" t="s">
        <v>369</v>
      </c>
      <c r="P6" t="s">
        <v>274</v>
      </c>
      <c r="Q6" t="s">
        <v>370</v>
      </c>
      <c r="R6" t="s">
        <v>371</v>
      </c>
      <c r="S6" t="s">
        <v>372</v>
      </c>
      <c r="T6" t="s">
        <v>373</v>
      </c>
      <c r="U6" t="s">
        <v>234</v>
      </c>
      <c r="V6" t="s">
        <v>374</v>
      </c>
      <c r="W6" t="s">
        <v>217</v>
      </c>
      <c r="X6" t="s">
        <v>365</v>
      </c>
      <c r="Y6" t="s">
        <v>20</v>
      </c>
      <c r="Z6" t="s">
        <v>277</v>
      </c>
      <c r="AA6" t="s">
        <v>375</v>
      </c>
      <c r="AB6">
        <v>2</v>
      </c>
    </row>
    <row r="7" spans="5:28" x14ac:dyDescent="0.25">
      <c r="E7" t="s">
        <v>376</v>
      </c>
      <c r="F7" t="s">
        <v>238</v>
      </c>
      <c r="G7" t="s">
        <v>377</v>
      </c>
      <c r="H7" t="s">
        <v>378</v>
      </c>
      <c r="I7" t="s">
        <v>55</v>
      </c>
      <c r="J7" t="s">
        <v>379</v>
      </c>
      <c r="L7" t="s">
        <v>20</v>
      </c>
      <c r="N7" t="s">
        <v>380</v>
      </c>
      <c r="P7" t="s">
        <v>381</v>
      </c>
      <c r="S7" t="s">
        <v>382</v>
      </c>
      <c r="U7" t="s">
        <v>383</v>
      </c>
      <c r="V7" t="s">
        <v>236</v>
      </c>
      <c r="W7" t="s">
        <v>240</v>
      </c>
      <c r="X7" t="s">
        <v>301</v>
      </c>
      <c r="Y7" t="s">
        <v>240</v>
      </c>
      <c r="Z7" t="s">
        <v>305</v>
      </c>
      <c r="AA7" t="s">
        <v>384</v>
      </c>
      <c r="AB7">
        <v>1</v>
      </c>
    </row>
    <row r="8" spans="7:28" x14ac:dyDescent="0.25">
      <c r="G8" t="s">
        <v>385</v>
      </c>
      <c r="H8" t="s">
        <v>10</v>
      </c>
      <c r="I8" t="s">
        <v>275</v>
      </c>
      <c r="AA8" t="s">
        <v>386</v>
      </c>
      <c r="AB8">
        <v>5</v>
      </c>
    </row>
    <row r="9" spans="8:28" x14ac:dyDescent="0.25">
      <c r="H9" t="s">
        <v>387</v>
      </c>
      <c r="I9" t="s">
        <v>385</v>
      </c>
      <c r="AA9" t="s">
        <v>388</v>
      </c>
      <c r="AB9">
        <v>2</v>
      </c>
    </row>
    <row r="10" spans="8:28" x14ac:dyDescent="0.25">
      <c r="H10" t="s">
        <v>389</v>
      </c>
      <c r="AA10" t="s">
        <v>390</v>
      </c>
      <c r="AB10">
        <v>1</v>
      </c>
    </row>
    <row r="11" spans="8:28" x14ac:dyDescent="0.25">
      <c r="H11" t="s">
        <v>20</v>
      </c>
      <c r="AA11" t="s">
        <v>391</v>
      </c>
      <c r="AB11">
        <v>1</v>
      </c>
    </row>
    <row r="12" spans="8:8" x14ac:dyDescent="0.25">
      <c r="H12" t="s">
        <v>240</v>
      </c>
    </row>
    <row r="13" spans="8:8" x14ac:dyDescent="0.25">
      <c r="H13" t="s">
        <v>382</v>
      </c>
    </row>
    <row r="21" spans="1:2" x14ac:dyDescent="0.25">
      <c r="A21" t="s">
        <v>339</v>
      </c>
      <c r="B21" t="s">
        <v>340</v>
      </c>
    </row>
    <row r="22" spans="1:2" x14ac:dyDescent="0.25">
      <c r="A22" t="s">
        <v>353</v>
      </c>
      <c r="B22">
        <v>1</v>
      </c>
    </row>
    <row r="23" spans="1:2" x14ac:dyDescent="0.25">
      <c r="A23" t="s">
        <v>362</v>
      </c>
      <c r="B23">
        <v>1</v>
      </c>
    </row>
    <row r="24" spans="1:2" x14ac:dyDescent="0.25">
      <c r="A24" t="s">
        <v>375</v>
      </c>
      <c r="B24">
        <v>2</v>
      </c>
    </row>
    <row r="25" spans="1:2" x14ac:dyDescent="0.25">
      <c r="A25" t="s">
        <v>384</v>
      </c>
      <c r="B25">
        <v>1</v>
      </c>
    </row>
    <row r="26" spans="1:2" x14ac:dyDescent="0.25">
      <c r="A26" t="s">
        <v>386</v>
      </c>
      <c r="B26">
        <v>5</v>
      </c>
    </row>
    <row r="27" spans="1:2" x14ac:dyDescent="0.25">
      <c r="A27" t="s">
        <v>388</v>
      </c>
      <c r="B27">
        <v>2</v>
      </c>
    </row>
    <row r="28" spans="1:2" x14ac:dyDescent="0.25">
      <c r="A28" t="s">
        <v>390</v>
      </c>
      <c r="B28">
        <v>1</v>
      </c>
    </row>
    <row r="29" spans="1:2" x14ac:dyDescent="0.25">
      <c r="A29" t="s">
        <v>391</v>
      </c>
      <c r="B29">
        <v>1</v>
      </c>
    </row>
  </sheetData>
  <mergeCells count="4">
    <mergeCell ref="A1:B1"/>
    <mergeCell ref="C1:D1"/>
    <mergeCell ref="E1:F1"/>
    <mergeCell ref="A2:A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00_통합 대시보드</vt:lpstr>
      <vt:lpstr>01_편집팀</vt:lpstr>
      <vt:lpstr>02_촬영·기획팀</vt:lpstr>
      <vt:lpstr>03_마케팅·관리팀</vt:lpstr>
      <vt:lpstr>99_설정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work-task-status-board fixture builder</dc:creator>
  <dc:title/>
  <dc:subject/>
  <dc:description/>
  <cp:keywords/>
  <cp:category/>
  <cp:lastModifiedBy>work-task-status-board fixture builder</cp:lastModifiedBy>
  <dcterms:created xsi:type="dcterms:W3CDTF">2026-01-01T00:00:00Z</dcterms:created>
  <dcterms:modified xsi:type="dcterms:W3CDTF">2026-01-01T00:00:00Z</dcterms:modified>
</cp:coreProperties>
</file>